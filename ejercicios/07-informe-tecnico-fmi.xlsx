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Relationship Type="http://schemas.openxmlformats.org/officeDocument/2006/relationships/custom-properties" Target="docProps/custom.xml" Id="R3f1c9a7e2b5d4086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rtada" sheetId="1" state="visible" r:id="rId3"/>
    <sheet name="Dashboard" sheetId="2" state="visible" r:id="rId4"/>
    <sheet name="Datos_FMI" sheetId="3" state="visible" r:id="rId5"/>
    <sheet name="Metas" sheetId="4" state="visible" r:id="rId6"/>
    <sheet name="Supuestos" sheetId="5" state="visible" r:id="rId7"/>
    <sheet name="Palancas" sheetId="6" state="visible" r:id="rId8"/>
    <sheet name="Motor" sheetId="7" state="visible" r:id="rId9"/>
    <sheet name="Shocks" sheetId="8" state="visible" r:id="rId10"/>
    <sheet name="Seleccionado" sheetId="9" state="visible" r:id="rId11"/>
    <sheet name="Evaluacion" sheetId="10" state="visible" r:id="rId12"/>
    <sheet name="Contrafactual" sheetId="11" state="visible" r:id="rId13"/>
    <sheet name="Matriz_Instrumentos" sheetId="12" state="visible" r:id="rId14"/>
    <sheet name="Diagnostico" sheetId="13" state="visible" r:id="rId15"/>
    <sheet name="Objeciones_FMI" sheetId="14" state="visible" r:id="rId16"/>
    <sheet name="Negociacion" sheetId="15" state="visible" r:id="rId17"/>
    <sheet name="Listas" sheetId="16" state="hidden" r:id="rId18"/>
  </sheets>
  <definedNames>
    <definedName function="false" hidden="false" name="auto" vbProcedure="false">Supuestos!$D$26</definedName>
    <definedName function="false" hidden="false" name="bm_cred" vbProcedure="false">Supuestos!$D$35</definedName>
    <definedName function="false" hidden="false" name="bm_dep" vbProcedure="false">Supuestos!$D$33</definedName>
    <definedName function="false" hidden="false" name="bm_flight" vbProcedure="false">Supuestos!$D$42</definedName>
    <definedName function="false" hidden="false" name="cap_dom" vbProcedure="false">Supuestos!$D$38</definedName>
    <definedName function="false" hidden="false" name="crowd" vbProcedure="false">Supuestos!$D$36</definedName>
    <definedName function="false" hidden="false" name="ef26" vbProcedure="false">Supuestos!$D$7</definedName>
    <definedName function="false" hidden="false" name="emp_el" vbProcedure="false">Supuestos!$D$45</definedName>
    <definedName function="false" hidden="false" name="eps_cred" vbProcedure="false">Supuestos!$D$22</definedName>
    <definedName function="false" hidden="false" name="eta" vbProcedure="false">Supuestos!$D$30</definedName>
    <definedName function="false" hidden="false" name="gini_soc" vbProcedure="false">Supuestos!$D$52</definedName>
    <definedName function="false" hidden="false" name="gini_tpr" vbProcedure="false">Supuestos!$D$51</definedName>
    <definedName function="false" hidden="false" name="imp_el" vbProcedure="false">Supuestos!$D$40</definedName>
    <definedName function="false" hidden="false" name="kappa" vbProcedure="false">Supuestos!$D$23</definedName>
    <definedName function="false" hidden="false" name="meta_bcb" vbProcedure="false">Metas!$D$8</definedName>
    <definedName function="false" hidden="false" name="meta_bm" vbProcedure="false">Metas!$D$10</definedName>
    <definedName function="false" hidden="false" name="meta_nir" vbProcedure="false">Metas!$D$7</definedName>
    <definedName function="false" hidden="false" name="meta_pb" vbProcedure="false">Metas!$D$6</definedName>
    <definedName function="false" hidden="false" name="meta_soc" vbProcedure="false">Metas!$D$9</definedName>
    <definedName function="false" hidden="false" name="monet_leak" vbProcedure="false">Supuestos!$D$43</definedName>
    <definedName function="false" hidden="false" name="mu_bm" vbProcedure="false">Supuestos!$D$29</definedName>
    <definedName function="false" hidden="false" name="m_cur" vbProcedure="false">Supuestos!$D$10</definedName>
    <definedName function="false" hidden="false" name="m_inv" vbProcedure="false">Supuestos!$D$9</definedName>
    <definedName function="false" hidden="false" name="m_soc" vbProcedure="false">Supuestos!$D$12</definedName>
    <definedName function="false" hidden="false" name="m_sub" vbProcedure="false">Supuestos!$D$11</definedName>
    <definedName function="false" hidden="false" name="m_tev" vbProcedure="false">Supuestos!$D$13</definedName>
    <definedName function="false" hidden="false" name="m_tex" vbProcedure="false">Supuestos!$D$15</definedName>
    <definedName function="false" hidden="false" name="m_tpr" vbProcedure="false">Supuestos!$D$14</definedName>
    <definedName function="false" hidden="false" name="nu_dep" vbProcedure="false">Supuestos!$D$25</definedName>
    <definedName function="false" hidden="false" name="pea" vbProcedure="false">Supuestos!$D$46</definedName>
    <definedName function="false" hidden="false" name="phi_sub" vbProcedure="false">Supuestos!$D$28</definedName>
    <definedName function="false" hidden="false" name="pov_g" vbProcedure="false">Supuestos!$D$47</definedName>
    <definedName function="false" hidden="false" name="pov_pi" vbProcedure="false">Supuestos!$D$49</definedName>
    <definedName function="false" hidden="false" name="pov_soc" vbProcedure="false">Supuestos!$D$48</definedName>
    <definedName function="false" hidden="false" name="pov_sub" vbProcedure="false">Supuestos!$D$50</definedName>
    <definedName function="false" hidden="false" name="psi" vbProcedure="false">Supuestos!$D$31</definedName>
    <definedName function="false" hidden="false" name="r_int" vbProcedure="false">Supuestos!$D$37</definedName>
    <definedName function="false" hidden="false" name="r_tev" vbProcedure="false">Supuestos!$D$17</definedName>
    <definedName function="false" hidden="false" name="r_tex" vbProcedure="false">Supuestos!$D$19</definedName>
    <definedName function="false" hidden="false" name="r_tpr" vbProcedure="false">Supuestos!$D$18</definedName>
    <definedName function="false" hidden="false" name="sel_idx" vbProcedure="false">Listas!$K$2</definedName>
    <definedName function="false" hidden="false" name="sel_resp" vbProcedure="false">Dashboard!$C$8</definedName>
    <definedName function="false" hidden="false" name="sel_scen" vbProcedure="false">Dashboard!$C$5</definedName>
    <definedName function="false" hidden="false" name="sel_shock" vbProcedure="false">Dashboard!$C$6</definedName>
    <definedName function="false" hidden="false" name="sel_year" vbProcedure="false">Dashboard!$C$7</definedName>
    <definedName function="false" hidden="false" name="shock_idx" vbProcedure="false">Listas!$K$3</definedName>
    <definedName function="false" hidden="false" name="sub_full" vbProcedure="false">Supuestos!$D$54</definedName>
    <definedName function="false" hidden="false" name="sub_leak" vbProcedure="false">Supuestos!$D$41</definedName>
    <definedName function="false" hidden="false" name="s_inv" vbProcedure="false">Supuestos!$D$21</definedName>
    <definedName function="false" hidden="false" name="tax_pi" vbProcedure="false">Supuestos!$D$32</definedName>
    <definedName function="false" hidden="false" name="tol" vbProcedure="false">Supuestos!$D$24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<sst xmlns="http://schemas.openxmlformats.org/spreadsheetml/2006/main" count="2025" uniqueCount="706">
  <si>
    <t xml:space="preserve">Bolivia: ¿otro programa de estabilización es posible?</t>
  </si>
  <si>
    <t xml:space="preserve">Simulación contrafactual del Acuerdo SAF/EFF del FMI (36 meses, 2026–2029) · Maestría GPP · Macroeconomía para el Desarrollo</t>
  </si>
  <si>
    <t xml:space="preserve">Pregunta central</t>
  </si>
  <si>
    <t xml:space="preserve">¿Se puede alcanzar la estabilidad que persigue el FMI con otra combinación de políticas fiscal, monetaria, cambiaria y tributaria, con menor costo social o recuperación productiva más rápida?</t>
  </si>
  <si>
    <t xml:space="preserve">Fuente principal</t>
  </si>
  <si>
    <t xml:space="preserve">FMI, Bolivia: Solicitud de un Acuerdo Ampliado en virtud del SAF (Informe del personal, 22-sep-2026; aprobación del Directorio 2-oct-2026, PR26/317). Versión traducida automáticamente; cifras leídas de Tablas 1, 2a, 2b, 4a, 4b, 5, 6 y Tablas de texto 1–3.</t>
  </si>
  <si>
    <t xml:space="preserve">Metas de prueba</t>
  </si>
  <si>
    <t xml:space="preserve">Criterios cuantitativos e indicativos a dic-2026 según la consigna (saldo primario, RIN, crédito BCB, asistencia social, base monetaria).</t>
  </si>
  <si>
    <t xml:space="preserve">Cómo usarlo</t>
  </si>
  <si>
    <t xml:space="preserve">1) Elija escenario, shock, año del shock y respuesta en el Dashboard (celdas amarillas). 2) Ajuste las palancas de cada escenario en 'Palancas' (texto azul). 3) Ajuste parámetros en 'Supuestos'. Todo se recalcula con fórmulas.</t>
  </si>
  <si>
    <t xml:space="preserve">Escenarios</t>
  </si>
  <si>
    <t xml:space="preserve">Base FMI · E1 Fiscal gradual · E2 Monetaria con crédito productivo · E3 Banda cambiaria · E4 Tributaria progresiva · E5 Protección social y subsidio gradual · E6 Programa alternativo integrado (combinación eficiente).</t>
  </si>
  <si>
    <t xml:space="preserve">Naturaleza del modelo</t>
  </si>
  <si>
    <t xml:space="preserve">Modelo semiestructural de desviaciones respecto de la senda FMI: cada escenario = proyección FMI + efecto de las palancas vía multiplicadores, traspasos y elasticidades documentados. No es econométrico; es una herramienta de coherencia contable y de canales de transmisión para la defensa oral.</t>
  </si>
  <si>
    <t xml:space="preserve">Convención de colores</t>
  </si>
  <si>
    <t xml:space="preserve">Texto azul = dato de entrada/palanca editable · Negro = fórmula · Verde = vínculo a otra hoja · Fondo amarillo = selector o supuesto clave.</t>
  </si>
  <si>
    <t xml:space="preserve">Advertencia</t>
  </si>
  <si>
    <t xml:space="preserve">Las proyecciones alternativas son ejercicios contrafactuales del equipo, no pronósticos oficiales. Los shocks son hipotéticos (consigna, misión 5).</t>
  </si>
  <si>
    <t xml:space="preserve">Hojas</t>
  </si>
  <si>
    <t xml:space="preserve">Dashboard</t>
  </si>
  <si>
    <t xml:space="preserve">Selectores, semáforo de metas, indicadores clave, comparación de escenarios y gráficos.</t>
  </si>
  <si>
    <t xml:space="preserve">Datos_FMI</t>
  </si>
  <si>
    <t xml:space="preserve">Senda base del programa 2024–2031 transcrita del informe, con fuente por fila.</t>
  </si>
  <si>
    <t xml:space="preserve">Metas</t>
  </si>
  <si>
    <t xml:space="preserve">Las cinco metas de prueba a dic-2026.</t>
  </si>
  <si>
    <t xml:space="preserve">Supuestos</t>
  </si>
  <si>
    <t xml:space="preserve">Parámetros del modelo (multiplicadores, traspasos, elasticidades) con justificación.</t>
  </si>
  <si>
    <t xml:space="preserve">Palancas</t>
  </si>
  <si>
    <t xml:space="preserve">Decisiones de política por escenario y año (entradas).</t>
  </si>
  <si>
    <t xml:space="preserve">Motor</t>
  </si>
  <si>
    <t xml:space="preserve">Cálculo por escenario: fiscal, financiamiento, crecimiento, inflación, deuda, reservas, crédito, empleo y distribución.</t>
  </si>
  <si>
    <t xml:space="preserve">Shocks</t>
  </si>
  <si>
    <t xml:space="preserve">Cisne negro boliviano: impacto de cada shock sobre el escenario elegido, con respuesta de política.</t>
  </si>
  <si>
    <t xml:space="preserve">Seleccionado</t>
  </si>
  <si>
    <t xml:space="preserve">Escenario elegido + shock, frente a la Base FMI (alimenta el Dashboard).</t>
  </si>
  <si>
    <t xml:space="preserve">Evaluacion</t>
  </si>
  <si>
    <t xml:space="preserve">Cumplimiento de metas y índice de eficiencia de todos los escenarios.</t>
  </si>
  <si>
    <t xml:space="preserve">Contrafactual</t>
  </si>
  <si>
    <t xml:space="preserve">Presupuesto contrafactual de la consigna: FMI vs alternativo con justificación.</t>
  </si>
  <si>
    <t xml:space="preserve">Matriz_Instrumentos</t>
  </si>
  <si>
    <t xml:space="preserve">Qué instrumento cambia, cómo funciona, quién gana/pierde, costo, financiamiento y riesgo.</t>
  </si>
  <si>
    <t xml:space="preserve">Diagnostico</t>
  </si>
  <si>
    <t xml:space="preserve">Auditoría del diagnóstico del FMI (misión 1).</t>
  </si>
  <si>
    <t xml:space="preserve">Objeciones_FMI</t>
  </si>
  <si>
    <t xml:space="preserve">Preguntas de la misión del Fondo y respuestas apoyadas en el modelo (misión 4).</t>
  </si>
  <si>
    <t xml:space="preserve">Negociacion</t>
  </si>
  <si>
    <t xml:space="preserve">Condicionalidad alternativa: metas verificables, calendario y seguimiento (misión 6).</t>
  </si>
  <si>
    <t xml:space="preserve">Bolivia 2026–2029 · Programa FMI vs programa alternativo</t>
  </si>
  <si>
    <t xml:space="preserve">Simulación contrafactual con metas de prueba a dic-2026, shocks 'cisne negro' y evaluación de eficiencia. Cifras en Bs mn / US$ mn / % según fila.</t>
  </si>
  <si>
    <t xml:space="preserve">Escenario a evaluar</t>
  </si>
  <si>
    <t xml:space="preserve">E6 Alternativo integrado</t>
  </si>
  <si>
    <t xml:space="preserve">Descripción del escenario</t>
  </si>
  <si>
    <t xml:space="preserve">Shock (cisne negro)</t>
  </si>
  <si>
    <t xml:space="preserve">Ninguno</t>
  </si>
  <si>
    <t xml:space="preserve">Año del shock</t>
  </si>
  <si>
    <t xml:space="preserve">¿Activar respuesta de política?</t>
  </si>
  <si>
    <t xml:space="preserve">Sí</t>
  </si>
  <si>
    <t xml:space="preserve">Metas de prueba a dic-2026 · escenario seleccionado + shock</t>
  </si>
  <si>
    <t xml:space="preserve">Valor</t>
  </si>
  <si>
    <t xml:space="preserve">Meta</t>
  </si>
  <si>
    <t xml:space="preserve">Holgura</t>
  </si>
  <si>
    <t xml:space="preserve">Estado</t>
  </si>
  <si>
    <t xml:space="preserve">Indicador</t>
  </si>
  <si>
    <t xml:space="preserve">FMI 2026</t>
  </si>
  <si>
    <t xml:space="preserve">FMI 2027</t>
  </si>
  <si>
    <t xml:space="preserve">FMI 2028</t>
  </si>
  <si>
    <t xml:space="preserve">FMI 2029</t>
  </si>
  <si>
    <t xml:space="preserve">Alt. 2026</t>
  </si>
  <si>
    <t xml:space="preserve">Alt. 2027</t>
  </si>
  <si>
    <t xml:space="preserve">Alt. 2028</t>
  </si>
  <si>
    <t xml:space="preserve">Alt. 2029</t>
  </si>
  <si>
    <t xml:space="preserve">Metas cumplidas</t>
  </si>
  <si>
    <t xml:space="preserve">Comparación de escenarios (sin shock)</t>
  </si>
  <si>
    <t xml:space="preserve">Base FMI</t>
  </si>
  <si>
    <t xml:space="preserve">E1 Fiscal gradual</t>
  </si>
  <si>
    <t xml:space="preserve">E2 Monetaria-crédito</t>
  </si>
  <si>
    <t xml:space="preserve">E3 Banda cambiaria</t>
  </si>
  <si>
    <t xml:space="preserve">E4 Tributaria progresiva</t>
  </si>
  <si>
    <t xml:space="preserve">E5 Protección social</t>
  </si>
  <si>
    <t xml:space="preserve">Metas 2026 cumplidas (de 5)</t>
  </si>
  <si>
    <t xml:space="preserve">Meta saldo primario</t>
  </si>
  <si>
    <t xml:space="preserve">Meta RIN</t>
  </si>
  <si>
    <t xml:space="preserve">Meta crédito BCB</t>
  </si>
  <si>
    <t xml:space="preserve">Meta asistencia social</t>
  </si>
  <si>
    <t xml:space="preserve">Meta base monetaria</t>
  </si>
  <si>
    <t xml:space="preserve">Crecimiento acumulado 2026–29 (%)</t>
  </si>
  <si>
    <t xml:space="preserve">Inflación promedio 2026–29 (%)</t>
  </si>
  <si>
    <t xml:space="preserve">Deuda 2029 (% PIB)</t>
  </si>
  <si>
    <t xml:space="preserve">RIN 2029 (US$ mn)</t>
  </si>
  <si>
    <t xml:space="preserve">Δ Pobreza 2029 (pp)</t>
  </si>
  <si>
    <t xml:space="preserve">Δ Empleo 2029 (miles)</t>
  </si>
  <si>
    <t xml:space="preserve">Crédito BCB 2026–29 (Bs mn)</t>
  </si>
  <si>
    <t xml:space="preserve">Índice de eficiencia (0–100)</t>
  </si>
  <si>
    <t xml:space="preserve">Ranking</t>
  </si>
  <si>
    <t xml:space="preserve">Saldo primario 2026 (Bs mn)</t>
  </si>
  <si>
    <t xml:space="preserve">Meta saldo primario 2026</t>
  </si>
  <si>
    <t xml:space="preserve">Variación RIN 2026 (US$ mn)</t>
  </si>
  <si>
    <t xml:space="preserve">Meta RIN 2026</t>
  </si>
  <si>
    <t xml:space="preserve">Años (categorías de gráficos)</t>
  </si>
  <si>
    <t xml:space="preserve">2026</t>
  </si>
  <si>
    <t xml:space="preserve">2027</t>
  </si>
  <si>
    <t xml:space="preserve">2028</t>
  </si>
  <si>
    <t xml:space="preserve">2029</t>
  </si>
  <si>
    <t xml:space="preserve">Gráficos: escenario seleccionado (+shock) vs Base FMI</t>
  </si>
  <si>
    <t xml:space="preserve">Gráficos: comparación de los 7 escenarios (sin shock)</t>
  </si>
  <si>
    <t xml:space="preserve">Senda base del programa respaldado por el FMI (2024–2031)</t>
  </si>
  <si>
    <t xml:space="preserve">Est. 2024–2025; proyecciones del personal técnico 2026–2031. Fuente: Informe del personal FMI, sep-2026 (traducción automática).</t>
  </si>
  <si>
    <t xml:space="preserve">Unidad</t>
  </si>
  <si>
    <t xml:space="preserve">2024</t>
  </si>
  <si>
    <t xml:space="preserve">2025</t>
  </si>
  <si>
    <t xml:space="preserve">2030</t>
  </si>
  <si>
    <t xml:space="preserve">2031</t>
  </si>
  <si>
    <t xml:space="preserve">Fuente (informe FMI)</t>
  </si>
  <si>
    <t xml:space="preserve">PIB real (variación)</t>
  </si>
  <si>
    <t xml:space="preserve">%</t>
  </si>
  <si>
    <t xml:space="preserve">Tabla 1, p.41</t>
  </si>
  <si>
    <t xml:space="preserve">Inflación IPC (promedio del período)</t>
  </si>
  <si>
    <t xml:space="preserve">Inflación IPC (fin de período)</t>
  </si>
  <si>
    <t xml:space="preserve">PIB nominal</t>
  </si>
  <si>
    <t xml:space="preserve">Bs mn</t>
  </si>
  <si>
    <t xml:space="preserve">Tabla 2a, p.42</t>
  </si>
  <si>
    <t xml:space="preserve">Ingresos y donaciones SPNF</t>
  </si>
  <si>
    <t xml:space="preserve">% PIB</t>
  </si>
  <si>
    <t xml:space="preserve">Tabla 2b, p.43</t>
  </si>
  <si>
    <t xml:space="preserve">Gasto total SPNF</t>
  </si>
  <si>
    <t xml:space="preserve">Inversión pública (adq. neta activos no financieros)</t>
  </si>
  <si>
    <t xml:space="preserve">Prestaciones sociales (asistencia social, def. MTE)</t>
  </si>
  <si>
    <t xml:space="preserve">Prestaciones sociales</t>
  </si>
  <si>
    <t xml:space="preserve">Subsidios energéticos a empresas estatales</t>
  </si>
  <si>
    <t xml:space="preserve">Tabla 1 / Tabla 2b</t>
  </si>
  <si>
    <t xml:space="preserve">Intereses</t>
  </si>
  <si>
    <t xml:space="preserve">Saldo primario SPNF</t>
  </si>
  <si>
    <t xml:space="preserve">Tabla 1 / 2b</t>
  </si>
  <si>
    <t xml:space="preserve">Tabla 2a, p.42 (2028+ = %×PIB)</t>
  </si>
  <si>
    <t xml:space="preserve">Saldo global SPNF</t>
  </si>
  <si>
    <t xml:space="preserve">Deuda bruta total SPNF</t>
  </si>
  <si>
    <t xml:space="preserve">  de la cual: deuda externa</t>
  </si>
  <si>
    <t xml:space="preserve">Cuenta corriente</t>
  </si>
  <si>
    <t xml:space="preserve">Tabla 1 / 4b</t>
  </si>
  <si>
    <t xml:space="preserve">Importaciones de bienes y servicios</t>
  </si>
  <si>
    <t xml:space="preserve">US$ mn</t>
  </si>
  <si>
    <t xml:space="preserve">n.d.</t>
  </si>
  <si>
    <t xml:space="preserve">Tabla 4a, p.45</t>
  </si>
  <si>
    <t xml:space="preserve">Tabla 4b, p.46</t>
  </si>
  <si>
    <t xml:space="preserve">Importación de combustibles y lubricantes</t>
  </si>
  <si>
    <t xml:space="preserve">Reservas internacionales brutas (total BCB)</t>
  </si>
  <si>
    <t xml:space="preserve">RIB del programa (netas de oro gravado)</t>
  </si>
  <si>
    <t xml:space="preserve">RIB programa en % de la métrica ARA (flotante)</t>
  </si>
  <si>
    <t xml:space="preserve">RIB programa en meses de importaciones</t>
  </si>
  <si>
    <t xml:space="preserve">meses</t>
  </si>
  <si>
    <t xml:space="preserve">Reservas internacionales netas del programa (stock)</t>
  </si>
  <si>
    <t xml:space="preserve">Tabla 4a/4b, memo (p.45–46)</t>
  </si>
  <si>
    <t xml:space="preserve">Crédito al sector privado (variación)</t>
  </si>
  <si>
    <t xml:space="preserve">Tabla 1 / Tabla 6</t>
  </si>
  <si>
    <t xml:space="preserve">Crédito bancario al sector privado</t>
  </si>
  <si>
    <t xml:space="preserve">Tabla 6, p.48</t>
  </si>
  <si>
    <t xml:space="preserve">Base monetaria (definición del programa)</t>
  </si>
  <si>
    <t xml:space="preserve">Precio del petróleo (APSP)</t>
  </si>
  <si>
    <t xml:space="preserve">US$/barril</t>
  </si>
  <si>
    <t xml:space="preserve">Tabla de texto 2, p.14</t>
  </si>
  <si>
    <t xml:space="preserve">Financiamiento oficial neto IFI (excl. FMI)</t>
  </si>
  <si>
    <t xml:space="preserve">Tabla de texto 3, p.27</t>
  </si>
  <si>
    <t xml:space="preserve">Desembolsos FMI (proyección)</t>
  </si>
  <si>
    <t xml:space="preserve">Nuevo financiamiento de mercado</t>
  </si>
  <si>
    <t xml:space="preserve">Derivados (cálculo propio a partir del informe)</t>
  </si>
  <si>
    <t xml:space="preserve">PIB nominal en US$ (implícito = importaciones US$ ÷ % PIB)</t>
  </si>
  <si>
    <t xml:space="preserve">Derivado: Tabla 4a ÷ Tabla 4b</t>
  </si>
  <si>
    <t xml:space="preserve">Tipo de cambio promedio implícito</t>
  </si>
  <si>
    <t xml:space="preserve">Bs/US$</t>
  </si>
  <si>
    <t xml:space="preserve">Derivado: PIB Bs ÷ PIB US$ (el informe cita Bs 12,8 de mercado en 2025)</t>
  </si>
  <si>
    <t xml:space="preserve">Variación de RIN del programa (meta: acumulada en el año)</t>
  </si>
  <si>
    <t xml:space="preserve">2026: +2.409 ≈ meta de +2.400 (consistencia)</t>
  </si>
  <si>
    <t xml:space="preserve">Indicadores sociales de referencia</t>
  </si>
  <si>
    <t xml:space="preserve">Tasa de pobreza (2024)</t>
  </si>
  <si>
    <t xml:space="preserve">Tasa de desempleo (2025)</t>
  </si>
  <si>
    <t xml:space="preserve">Población (2024)</t>
  </si>
  <si>
    <t xml:space="preserve">millones</t>
  </si>
  <si>
    <t xml:space="preserve">Metas de prueba del programa a diciembre de 2026</t>
  </si>
  <si>
    <t xml:space="preserve">Fuente: consigna (tabla de criterios cuantitativos y metas indicativas del informe FMI). Valores de prueba, no resultados observados.</t>
  </si>
  <si>
    <t xml:space="preserve">Indicador del programa</t>
  </si>
  <si>
    <t xml:space="preserve">Tipo</t>
  </si>
  <si>
    <t xml:space="preserve">Cómo se mide en el modelo</t>
  </si>
  <si>
    <t xml:space="preserve">Saldo primario acumulado del SPNF (piso)</t>
  </si>
  <si>
    <t xml:space="preserve">Criterio de desempeño</t>
  </si>
  <si>
    <t xml:space="preserve">Saldo primario 2026 del escenario (Tabla 2a: base −32.869) + cambio discrecional y automático</t>
  </si>
  <si>
    <t xml:space="preserve">Variación acumulada de RIN del programa (piso)</t>
  </si>
  <si>
    <t xml:space="preserve">RIN programa 2026 − RIN 2025 (−2.990); base +2.409</t>
  </si>
  <si>
    <t xml:space="preserve">Nuevos créditos brutos del BCB al sector público (techo)</t>
  </si>
  <si>
    <t xml:space="preserve">Criterio continuo</t>
  </si>
  <si>
    <t xml:space="preserve">Brecha de financiamiento no cubierta por fuentes externas ni mercado interno</t>
  </si>
  <si>
    <t xml:space="preserve">Gasto acumulado en asistencia social (piso)</t>
  </si>
  <si>
    <t xml:space="preserve">Meta indicativa</t>
  </si>
  <si>
    <t xml:space="preserve">Prestaciones sociales 2026 (Tabla 2a: 10.890) + asistencia adicional</t>
  </si>
  <si>
    <t xml:space="preserve">Base monetaria (techo)</t>
  </si>
  <si>
    <t xml:space="preserve">Supuesto: la senda base se calibra en la meta; + expansión del escenario + monetización</t>
  </si>
  <si>
    <t xml:space="preserve">Holgura de la senda base FMI frente a cada meta</t>
  </si>
  <si>
    <t xml:space="preserve">Saldo primario: −32.869 vs −33.000 → holgura de solo Bs 131 mn (0,03% del PIB). 2026 está prácticamente cerrado: cualquier gasto nuevo en el 4º trimestre rompe la meta.</t>
  </si>
  <si>
    <t xml:space="preserve">RIN: +2.409 vs +2.400 → holgura de US$ 9 mn. Cualquier intervención cambiaria en 2026 incumple el piso.</t>
  </si>
  <si>
    <t xml:space="preserve">Supuestos y parámetros del modelo (editables)</t>
  </si>
  <si>
    <t xml:space="preserve">Texto azul con fondo amarillo = parámetro. Rangos de literatura como referencia; calibración del equipo para fines docentes.</t>
  </si>
  <si>
    <t xml:space="preserve">Nombre</t>
  </si>
  <si>
    <t xml:space="preserve">Parámetro</t>
  </si>
  <si>
    <t xml:space="preserve">Justificación / canal de transmisión</t>
  </si>
  <si>
    <t xml:space="preserve">Calendario</t>
  </si>
  <si>
    <t xml:space="preserve">ef26</t>
  </si>
  <si>
    <t xml:space="preserve">Fracción de 2026 en que pueden operar medidas nuevas</t>
  </si>
  <si>
    <t xml:space="preserve">fracción</t>
  </si>
  <si>
    <t xml:space="preserve">El informe es de sep-2026 y el Directorio aprobó el 2-oct-2026: solo queda el 4º trimestre. Se aplica a palancas en pp del PIB en 2026.</t>
  </si>
  <si>
    <t xml:space="preserve">Multiplicadores fiscales (efecto en pp del PIB real por 1 pp del PIB)</t>
  </si>
  <si>
    <t xml:space="preserve">m_inv</t>
  </si>
  <si>
    <t xml:space="preserve">Inversión pública productiva</t>
  </si>
  <si>
    <t xml:space="preserve">x</t>
  </si>
  <si>
    <t xml:space="preserve">Ilzetzki-Mendoza-Végh (2013): multiplicadores de inversión mayores que los de consumo en países en desarrollo; contenido importado alto en Bolivia limita el valor.</t>
  </si>
  <si>
    <t xml:space="preserve">m_cur</t>
  </si>
  <si>
    <t xml:space="preserve">Gasto corriente (salarios, bienes y servicios, transferencias a EP)</t>
  </si>
  <si>
    <t xml:space="preserve">Economía con tipo de cambio más flexible y alta informalidad: multiplicador de consumo público moderado.</t>
  </si>
  <si>
    <t xml:space="preserve">m_sub</t>
  </si>
  <si>
    <t xml:space="preserve">Subsidio a combustibles</t>
  </si>
  <si>
    <t xml:space="preserve">Bajo: parte se filtra a contrabando e importaciones y beneficia a quintiles altos.</t>
  </si>
  <si>
    <t xml:space="preserve">m_soc</t>
  </si>
  <si>
    <t xml:space="preserve">Transferencias sociales focalizadas</t>
  </si>
  <si>
    <t xml:space="preserve">Alta propensión a consumir de hogares pobres (bonos Juancito Pinto, Juana Azurduy, PEPE).</t>
  </si>
  <si>
    <t xml:space="preserve">m_tev</t>
  </si>
  <si>
    <t xml:space="preserve">Recaudación por menor evasión / administración</t>
  </si>
  <si>
    <t xml:space="preserve">Recae sobre quien ya debía pagar; bajo efecto contractivo.</t>
  </si>
  <si>
    <t xml:space="preserve">m_tpr</t>
  </si>
  <si>
    <t xml:space="preserve">Recaudación por progresividad (renta personal, patrimonio, rentas financieras)</t>
  </si>
  <si>
    <t xml:space="preserve">Afecta a deciles altos con menor propensión marginal a consumir.</t>
  </si>
  <si>
    <t xml:space="preserve">m_tex</t>
  </si>
  <si>
    <t xml:space="preserve">Recaudación por revisión de exenciones</t>
  </si>
  <si>
    <t xml:space="preserve">Revertir exenciones de 2025–26 encarece importaciones e insumos de sectores beneficiados.</t>
  </si>
  <si>
    <t xml:space="preserve">Rendimiento real de la reforma tributaria (realización)</t>
  </si>
  <si>
    <t xml:space="preserve">r_tev</t>
  </si>
  <si>
    <t xml:space="preserve">Realización de medidas anti-evasión</t>
  </si>
  <si>
    <t xml:space="preserve">Facturación electrónica y fiscalización del SIN maduran con rezago; no se recauda el 100% del potencial.</t>
  </si>
  <si>
    <t xml:space="preserve">r_tpr</t>
  </si>
  <si>
    <t xml:space="preserve">Realización de medidas de progresividad</t>
  </si>
  <si>
    <t xml:space="preserve">Requiere ley; base estrecha, elusión y planificación fiscal.</t>
  </si>
  <si>
    <t xml:space="preserve">r_tex</t>
  </si>
  <si>
    <t xml:space="preserve">Realización de revisión de exenciones</t>
  </si>
  <si>
    <t xml:space="preserve">Medida administrativa/decreto de alta realización.</t>
  </si>
  <si>
    <t xml:space="preserve">Canales de crecimiento</t>
  </si>
  <si>
    <t xml:space="preserve">s_inv</t>
  </si>
  <si>
    <t xml:space="preserve">Efecto oferta de la inversión acumulada (pp de crecimiento por pp PIB invertido el año previo)</t>
  </si>
  <si>
    <t xml:space="preserve">Infraestructura productiva eleva el producto potencial con rezago (PIMA para filtrar proyectos).</t>
  </si>
  <si>
    <t xml:space="preserve">eps_cred</t>
  </si>
  <si>
    <t xml:space="preserve">Elasticidad del PIB al crecimiento del crédito privado</t>
  </si>
  <si>
    <t xml:space="preserve">pp/pp</t>
  </si>
  <si>
    <t xml:space="preserve">Crédito/PIB ≈ 45% (Tabla 6): 1 pp más de crédito ≈ 0,45% del PIB de financiamiento, con impulso parcial a inversión.</t>
  </si>
  <si>
    <t xml:space="preserve">kappa</t>
  </si>
  <si>
    <t xml:space="preserve">Penalización de credibilidad por relajamiento fiscal (pp PIB por pp de déficit sobre la tolerancia)</t>
  </si>
  <si>
    <t xml:space="preserve">Mayor riesgo soberano (calificación CCC) eleva spreads y deprime inversión privada.</t>
  </si>
  <si>
    <t xml:space="preserve">tol</t>
  </si>
  <si>
    <t xml:space="preserve">Tolerancia de relajamiento sin costo de credibilidad</t>
  </si>
  <si>
    <t xml:space="preserve">pp PIB</t>
  </si>
  <si>
    <t xml:space="preserve">Desvíos pequeños y anunciados con financiamiento identificado no alteran expectativas.</t>
  </si>
  <si>
    <t xml:space="preserve">nu_dep</t>
  </si>
  <si>
    <t xml:space="preserve">Efecto de la depreciación real sobre exportaciones netas</t>
  </si>
  <si>
    <t xml:space="preserve">Moderado: exportaciones dominadas por minerales y soya con precios internacionales.</t>
  </si>
  <si>
    <t xml:space="preserve">auto</t>
  </si>
  <si>
    <t xml:space="preserve">Estabilizador automático (mejora del saldo primario por pp de crecimiento)</t>
  </si>
  <si>
    <t xml:space="preserve">Gasto rígido en términos nominales e ingresos con elasticidad ≈1 al PIB.</t>
  </si>
  <si>
    <t xml:space="preserve">Canales de inflación</t>
  </si>
  <si>
    <t xml:space="preserve">phi_sub</t>
  </si>
  <si>
    <t xml:space="preserve">Traspaso de cambios en el subsidio a la inflación (pp por pp PIB de subsidio)</t>
  </si>
  <si>
    <t xml:space="preserve">Gasolina +86% y diésel +160% en dic-2025 (Recuadro 1) se reflejaron en transporte y alimentos.</t>
  </si>
  <si>
    <t xml:space="preserve">mu_bm</t>
  </si>
  <si>
    <t xml:space="preserve">Efecto de la expansión de la base monetaria sobre inflación</t>
  </si>
  <si>
    <t xml:space="preserve">Ancla nominal = base monetaria (párr. 22); traspaso parcial en el año.</t>
  </si>
  <si>
    <t xml:space="preserve">eta</t>
  </si>
  <si>
    <t xml:space="preserve">Presión de demanda (pp de inflación por pp de crecimiento)</t>
  </si>
  <si>
    <t xml:space="preserve">Brecha del producto negativa (3er año de recesión) limita la presión de demanda.</t>
  </si>
  <si>
    <t xml:space="preserve">psi</t>
  </si>
  <si>
    <t xml:space="preserve">Traspaso cambiario (pp de inflación por pp de depreciación)</t>
  </si>
  <si>
    <t xml:space="preserve">Economía muy abierta y dolarizada en precios de importados; rango regional 0,2–0,5.</t>
  </si>
  <si>
    <t xml:space="preserve">tax_pi</t>
  </si>
  <si>
    <t xml:space="preserve">Efecto precio del mayor cumplimiento del IVA</t>
  </si>
  <si>
    <t xml:space="preserve">Formalización del IVA traslada parte del impuesto a precios.</t>
  </si>
  <si>
    <t xml:space="preserve">bm_dep</t>
  </si>
  <si>
    <t xml:space="preserve">Depreciación adicional por pp de expansión de la base monetaria</t>
  </si>
  <si>
    <t xml:space="preserve">Exceso de liquidez en bolivianos presiona el mercado cambiario.</t>
  </si>
  <si>
    <t xml:space="preserve">Crédito y financiamiento</t>
  </si>
  <si>
    <t xml:space="preserve">bm_cred</t>
  </si>
  <si>
    <t xml:space="preserve">Crédito privado adicional por pp de base monetaria</t>
  </si>
  <si>
    <t xml:space="preserve">Más liquidez bancaria relaja tasas y topes.</t>
  </si>
  <si>
    <t xml:space="preserve">crowd</t>
  </si>
  <si>
    <t xml:space="preserve">Desplazamiento del crédito privado por financiamiento interno del Estado</t>
  </si>
  <si>
    <t xml:space="preserve">Gestora y bancos compran deuda pública en lugar de prestar al sector privado (con un año de rezago).</t>
  </si>
  <si>
    <t xml:space="preserve">r_int</t>
  </si>
  <si>
    <t xml:space="preserve">Tasa de interés efectiva sobre deuda adicional</t>
  </si>
  <si>
    <t xml:space="preserve">Mezcla de concesional multilateral (≈5%) y mercado interno; eurobono 2031 al 9,45%.</t>
  </si>
  <si>
    <t xml:space="preserve">cap_dom</t>
  </si>
  <si>
    <t xml:space="preserve">Capacidad del mercado interno para absorber deuda adicional</t>
  </si>
  <si>
    <t xml:space="preserve">% PIB/año</t>
  </si>
  <si>
    <t xml:space="preserve">Gestora y bancos ya concentran deuda pública (párr. 26: riesgo del nexo soberano–pensiones).</t>
  </si>
  <si>
    <t xml:space="preserve">Sector externo</t>
  </si>
  <si>
    <t xml:space="preserve">imp_el</t>
  </si>
  <si>
    <t xml:space="preserve">Elasticidad de importaciones al PIB</t>
  </si>
  <si>
    <t xml:space="preserve">Alta dependencia de bienes de capital, insumos y combustibles importados.</t>
  </si>
  <si>
    <t xml:space="preserve">sub_leak</t>
  </si>
  <si>
    <t xml:space="preserve">Fracción del subsidio que se filtra en importaciones/contrabando</t>
  </si>
  <si>
    <t xml:space="preserve">Precio interno bajo vs países vecinos incentiva contrabando (DS 5676).</t>
  </si>
  <si>
    <t xml:space="preserve">bm_flight</t>
  </si>
  <si>
    <t xml:space="preserve">Pérdida de reservas por pp de expansión monetaria</t>
  </si>
  <si>
    <t xml:space="preserve">US$ mn/pp</t>
  </si>
  <si>
    <t xml:space="preserve">Demanda de dólares por exceso de liquidez.</t>
  </si>
  <si>
    <t xml:space="preserve">monet_leak</t>
  </si>
  <si>
    <t xml:space="preserve">Fracción de la monetización que se convierte en demanda de divisas</t>
  </si>
  <si>
    <t xml:space="preserve">Experiencia 2024–25: financiamiento del BCB → brecha cambiaria y pérdida de reservas.</t>
  </si>
  <si>
    <t xml:space="preserve">Empleo y distribución</t>
  </si>
  <si>
    <t xml:space="preserve">emp_el</t>
  </si>
  <si>
    <t xml:space="preserve">Elasticidad empleo–producto</t>
  </si>
  <si>
    <t xml:space="preserve">Okun débil por informalidad: el ajuste se da en subempleo e ingresos.</t>
  </si>
  <si>
    <t xml:space="preserve">pea</t>
  </si>
  <si>
    <t xml:space="preserve">Población económicamente activa</t>
  </si>
  <si>
    <t xml:space="preserve">miles</t>
  </si>
  <si>
    <t xml:space="preserve">Aproximación INE (≈52% de 12,3 millones).</t>
  </si>
  <si>
    <t xml:space="preserve">pov_g</t>
  </si>
  <si>
    <t xml:space="preserve">Pobreza: pp por pp de PIB acumulado</t>
  </si>
  <si>
    <t xml:space="preserve">Elasticidad pobreza–crecimiento típica en América Latina (−0,5 a −1,0).</t>
  </si>
  <si>
    <t xml:space="preserve">pov_soc</t>
  </si>
  <si>
    <t xml:space="preserve">Pobreza: pp por pp PIB de transferencias focalizadas</t>
  </si>
  <si>
    <t xml:space="preserve">PEPE cubre 84% de los hogares pobres (Recuadro 1).</t>
  </si>
  <si>
    <t xml:space="preserve">pov_pi</t>
  </si>
  <si>
    <t xml:space="preserve">Pobreza: pp por pp de inflación</t>
  </si>
  <si>
    <t xml:space="preserve">Inflación de alimentos erosiona ingresos reales de los pobres.</t>
  </si>
  <si>
    <t xml:space="preserve">pov_sub</t>
  </si>
  <si>
    <t xml:space="preserve">Pobreza: pp por pp PIB de subsidio a combustibles</t>
  </si>
  <si>
    <t xml:space="preserve">Efecto pequeño: subsidio regresivo, pero abarata transporte y alimentos.</t>
  </si>
  <si>
    <t xml:space="preserve">gini_tpr</t>
  </si>
  <si>
    <t xml:space="preserve">Gini: puntos por pp PIB de recaudación progresiva</t>
  </si>
  <si>
    <t xml:space="preserve">pts/pp</t>
  </si>
  <si>
    <t xml:space="preserve">Impuesto a la renta personal y patrimonio reduce desigualdad post-fiscal.</t>
  </si>
  <si>
    <t xml:space="preserve">gini_soc</t>
  </si>
  <si>
    <t xml:space="preserve">Gini: puntos por pp PIB de transferencias focalizadas</t>
  </si>
  <si>
    <t xml:space="preserve">Transferencias a quintiles bajos.</t>
  </si>
  <si>
    <t xml:space="preserve">Otros</t>
  </si>
  <si>
    <t xml:space="preserve">sub_full</t>
  </si>
  <si>
    <t xml:space="preserve">Subsidio que implica congelamiento total de precios de combustibles</t>
  </si>
  <si>
    <t xml:space="preserve">Usado en el shock petrolero: si el escenario mantiene ≥1 pp de subsidio, el Estado absorbe todo el alza.</t>
  </si>
  <si>
    <t xml:space="preserve">Palancas de política por escenario (entradas editables)</t>
  </si>
  <si>
    <t xml:space="preserve">Desviaciones respecto de la senda FMI. Columna 2025 = 0 (referencia). En 2026 las palancas en pp del PIB se escalan por ef26 en el Motor.</t>
  </si>
  <si>
    <t xml:space="preserve">0. Base FMI</t>
  </si>
  <si>
    <t xml:space="preserve">Programa del EFF tal como fue aprobado: consolidación fiscal anticipada (déficit primario −6,5% → +0,6% del PIB), eliminación del subsidio a combustibles a inicios de 2027, flotación con intervención solo ante condiciones desordenadas, metas de base monetaria y cero financiamiento del BCB.</t>
  </si>
  <si>
    <t xml:space="preserve">Palanca</t>
  </si>
  <si>
    <t xml:space="preserve">Δ Inversión pública productiva</t>
  </si>
  <si>
    <t xml:space="preserve">Δ Gasto corriente (salarios, bienes y servicios, transferencias a EP)</t>
  </si>
  <si>
    <t xml:space="preserve">Δ Subsidio a combustibles vs senda FMI</t>
  </si>
  <si>
    <t xml:space="preserve">Δ Asistencia social focalizada</t>
  </si>
  <si>
    <t xml:space="preserve">Δ Recaudación potencial: anti-evasión / administración</t>
  </si>
  <si>
    <t xml:space="preserve">Δ Recaudación potencial: progresividad (renta, patrimonio)</t>
  </si>
  <si>
    <t xml:space="preserve">Δ Recaudación potencial: revisión de exenciones</t>
  </si>
  <si>
    <t xml:space="preserve">Δ Crecimiento de la base monetaria vs programa</t>
  </si>
  <si>
    <t xml:space="preserve">pp</t>
  </si>
  <si>
    <t xml:space="preserve">Δ Crédito productivo dirigido (encaje diferenciado, garantías)</t>
  </si>
  <si>
    <t xml:space="preserve">pp crec. crédito</t>
  </si>
  <si>
    <t xml:space="preserve">Δ Depreciación vs flotación (− = suavizada por banda/intervención)</t>
  </si>
  <si>
    <t xml:space="preserve">Δ Financiamiento externo concesional adicional</t>
  </si>
  <si>
    <t xml:space="preserve">Ventas netas de divisas para sostener banda/suavizar</t>
  </si>
  <si>
    <t xml:space="preserve">Régimen cambiario (0 = flotación FMI · 0,5 = flotación administrada con reglas · 1 = banda)</t>
  </si>
  <si>
    <t xml:space="preserve">1. E1 Fiscal gradual</t>
  </si>
  <si>
    <t xml:space="preserve">Misma meta de deuda pero con senda más lenta: se protege y amplía la inversión pública productiva (filtrada por PIMA), financiada con préstamos de proyecto de CAF/BID y mercado interno. Pregunta: ¿reducir el déficit con otra velocidad protegiendo la inversión?</t>
  </si>
  <si>
    <t xml:space="preserve">2. E2 Monetaria-crédito</t>
  </si>
  <si>
    <t xml:space="preserve">Se mantiene la meta de base monetaria 2026; desde 2027 expansión moderada y crédito productivo dirigido mediante encaje diferenciado y fondos de garantía (sin topes de tasas). Pregunta: ¿estabilizar precios sin restringir en exceso el crédito?</t>
  </si>
  <si>
    <t xml:space="preserve">3. E3 Banda cambiaria</t>
  </si>
  <si>
    <t xml:space="preserve">Banda deslizante explícita (±7,5%) con intervención en los bordes para suavizar la depreciación y el traspaso a precios. Pregunta: ¿una banda administra mejor la volatilidad? Costo: reservas.</t>
  </si>
  <si>
    <t xml:space="preserve">4. E4 Tributaria progresiva</t>
  </si>
  <si>
    <t xml:space="preserve">Adelanta la movilización de ingresos a 2027: lucha contra evasión (IVA, facturación), progresividad (renta personal, patrimonio, rentas financieras) y revisión de exenciones 2025–26. Pregunta: ¿qué combinación recauda más con menor daño productivo?</t>
  </si>
  <si>
    <t xml:space="preserve">5. E5 Protección social</t>
  </si>
  <si>
    <t xml:space="preserve">Desmonte gradual del subsidio (diésel productivo focalizado en 2027–28) y mayor asistencia social, compensados con recorte de gasto corriente y apoyo del Banco Mundial. Pregunta: ¿menor costo social del ajuste?</t>
  </si>
  <si>
    <t xml:space="preserve">6. E6 Alternativo integrado</t>
  </si>
  <si>
    <t xml:space="preserve">Combinación eficiente: 2026 intacto para cumplir metas; desde 2027 inversión productiva + reforma tributaria progresiva/antievasión + recorte de gasto corriente y reestructuración de EP + crédito productivo neutral en base monetaria + flotación administrada con reglas + red social reforzada.</t>
  </si>
  <si>
    <t xml:space="preserve">Motor de cálculo por escenario (no editar: fórmulas)</t>
  </si>
  <si>
    <t xml:space="preserve">Columna 2025 = condición inicial (desvíos nulos). Desvíos (Δ) respecto de la senda FMI de Datos_FMI. Bs mn salvo indicación.</t>
  </si>
  <si>
    <t xml:space="preserve">Variable</t>
  </si>
  <si>
    <t xml:space="preserve">Palancas efectivas</t>
  </si>
  <si>
    <t xml:space="preserve">Inversión pública productiva (efectiva)</t>
  </si>
  <si>
    <t xml:space="preserve">Gasto corriente (efectivo)</t>
  </si>
  <si>
    <t xml:space="preserve">Subsidio combustibles (efectivo)</t>
  </si>
  <si>
    <t xml:space="preserve">Asistencia social (efectiva)</t>
  </si>
  <si>
    <t xml:space="preserve">Recaudación anti-evasión realizada</t>
  </si>
  <si>
    <t xml:space="preserve">Recaudación progresiva realizada</t>
  </si>
  <si>
    <t xml:space="preserve">Recaudación por exenciones realizada</t>
  </si>
  <si>
    <t xml:space="preserve">Δ crecimiento base monetaria (efectivo)</t>
  </si>
  <si>
    <t xml:space="preserve">Crédito productivo dirigido (efectivo)</t>
  </si>
  <si>
    <t xml:space="preserve">Δ depreciación por palanca (efectiva)</t>
  </si>
  <si>
    <t xml:space="preserve">Financiamiento externo adicional</t>
  </si>
  <si>
    <t xml:space="preserve">Intervención cambiaria (ventas)</t>
  </si>
  <si>
    <t xml:space="preserve">Bloque fiscal</t>
  </si>
  <si>
    <t xml:space="preserve">Δ Gasto primario discrecional</t>
  </si>
  <si>
    <t xml:space="preserve">Δ Ingresos discrecionales</t>
  </si>
  <si>
    <t xml:space="preserve">Δ Saldo primario discrecional</t>
  </si>
  <si>
    <t xml:space="preserve">Crecimiento</t>
  </si>
  <si>
    <t xml:space="preserve">Δ crecimiento del crédito privado</t>
  </si>
  <si>
    <t xml:space="preserve">Inversión adicional acumulada</t>
  </si>
  <si>
    <t xml:space="preserve">Penalización de credibilidad</t>
  </si>
  <si>
    <t xml:space="preserve">Δ Crecimiento PIB real</t>
  </si>
  <si>
    <t xml:space="preserve">Crecimiento PIB real</t>
  </si>
  <si>
    <t xml:space="preserve">Δ nivel PIB real acumulado</t>
  </si>
  <si>
    <t xml:space="preserve">Saldos fiscales y financiamiento</t>
  </si>
  <si>
    <t xml:space="preserve">Δ Saldo primario total (incl. estabilizador)</t>
  </si>
  <si>
    <t xml:space="preserve">Saldo primario</t>
  </si>
  <si>
    <t xml:space="preserve">Δ Intereses por deuda adicional</t>
  </si>
  <si>
    <t xml:space="preserve">Δ Saldo global</t>
  </si>
  <si>
    <t xml:space="preserve">Saldo global</t>
  </si>
  <si>
    <t xml:space="preserve">Necesidad adicional de financiamiento (+) / ahorro (−)</t>
  </si>
  <si>
    <t xml:space="preserve">Financiamiento interno de mercado (Gestora/bancos)</t>
  </si>
  <si>
    <t xml:space="preserve">Financiamiento interno de mercado</t>
  </si>
  <si>
    <t xml:space="preserve">Brecha no financiada = crédito BCB requerido</t>
  </si>
  <si>
    <t xml:space="preserve">Precios y tipo de cambio</t>
  </si>
  <si>
    <t xml:space="preserve">Δ depreciación total</t>
  </si>
  <si>
    <t xml:space="preserve">Δ depreciación acumulada</t>
  </si>
  <si>
    <t xml:space="preserve">Tipo de cambio promedio</t>
  </si>
  <si>
    <t xml:space="preserve">Δ Inflación</t>
  </si>
  <si>
    <t xml:space="preserve">Inflación promedio</t>
  </si>
  <si>
    <t xml:space="preserve">Inflación fin de período</t>
  </si>
  <si>
    <t xml:space="preserve">Δ nivel de precios acumulado</t>
  </si>
  <si>
    <t xml:space="preserve">PIB nominal del escenario</t>
  </si>
  <si>
    <t xml:space="preserve">Deuda</t>
  </si>
  <si>
    <t xml:space="preserve">Deuda adicional acumulada por flujos</t>
  </si>
  <si>
    <t xml:space="preserve">Δ Deuda total (flujos + valoración cambiaria)</t>
  </si>
  <si>
    <t xml:space="preserve">Deuda bruta SPNF</t>
  </si>
  <si>
    <t xml:space="preserve">Reservas</t>
  </si>
  <si>
    <t xml:space="preserve">Δ RIN del año (flujo)</t>
  </si>
  <si>
    <t xml:space="preserve">Δ RIN acumulada vs FMI</t>
  </si>
  <si>
    <t xml:space="preserve">RIN del programa (stock)</t>
  </si>
  <si>
    <t xml:space="preserve">RIB del programa</t>
  </si>
  <si>
    <t xml:space="preserve">RIB programa / métrica ARA</t>
  </si>
  <si>
    <t xml:space="preserve">Dinero, crédito y metas monetarias</t>
  </si>
  <si>
    <t xml:space="preserve">Crecimiento del crédito privado</t>
  </si>
  <si>
    <t xml:space="preserve">Δ base monetaria acumulada</t>
  </si>
  <si>
    <t xml:space="preserve">Monetización acumulada</t>
  </si>
  <si>
    <t xml:space="preserve">Base monetaria (indicador meta)</t>
  </si>
  <si>
    <t xml:space="preserve">Social, empleo y distribución</t>
  </si>
  <si>
    <t xml:space="preserve">Gasto en asistencia social</t>
  </si>
  <si>
    <t xml:space="preserve">Δ Empleo vs FMI</t>
  </si>
  <si>
    <t xml:space="preserve">Δ Pobreza vs FMI</t>
  </si>
  <si>
    <t xml:space="preserve">Δ Gini vs FMI</t>
  </si>
  <si>
    <t xml:space="preserve">pts</t>
  </si>
  <si>
    <t xml:space="preserve">Quinta misión: el cisne negro boliviano (shocks hipotéticos)</t>
  </si>
  <si>
    <t xml:space="preserve">Impacto sobre el escenario elegido en el Dashboard. Año del shock = 100%; año siguiente = persistencia. La respuesta mitiga crecimiento e inflación a un costo fiscal.</t>
  </si>
  <si>
    <t xml:space="preserve">Parámetros del shock</t>
  </si>
  <si>
    <t xml:space="preserve">Shock petrolero (+25%)</t>
  </si>
  <si>
    <t xml:space="preserve">Crisis de confianza</t>
  </si>
  <si>
    <t xml:space="preserve">Bloqueos (3 semanas)</t>
  </si>
  <si>
    <t xml:space="preserve">Crisis bancaria</t>
  </si>
  <si>
    <t xml:space="preserve">Freno legislativo</t>
  </si>
  <si>
    <t xml:space="preserve">Impacto en crecimiento (pp)</t>
  </si>
  <si>
    <t xml:space="preserve">Impacto directo en inflación (pp)</t>
  </si>
  <si>
    <t xml:space="preserve">Impacto directo en saldo primario (pp PIB)</t>
  </si>
  <si>
    <t xml:space="preserve">Impacto directo en RIN (US$ mn)</t>
  </si>
  <si>
    <t xml:space="preserve">Impacto en crédito privado (pp)</t>
  </si>
  <si>
    <t xml:space="preserve">Liquidez de emergencia BCB (Bs mn, base monetaria)</t>
  </si>
  <si>
    <t xml:space="preserve">Costo de recapitalización (pp PIB, deuda)</t>
  </si>
  <si>
    <t xml:space="preserve">Persistencia al año siguiente (fracción)</t>
  </si>
  <si>
    <t xml:space="preserve">Mitigación con respuesta (fracción de g y π evitada)</t>
  </si>
  <si>
    <t xml:space="preserve">Costo fiscal de la respuesta (pp PIB)</t>
  </si>
  <si>
    <t xml:space="preserve">Alza del precio internacional del petróleo</t>
  </si>
  <si>
    <t xml:space="preserve">Peso efectivo (directo+indirecto) de combustibles en IPC</t>
  </si>
  <si>
    <t xml:space="preserve">Demanda adicional de dólares (US$ mn)</t>
  </si>
  <si>
    <t xml:space="preserve">Depreciación adicional bajo flotación (pp)</t>
  </si>
  <si>
    <t xml:space="preserve">Desembolsos IFI demorados un año (US$ mn)</t>
  </si>
  <si>
    <t xml:space="preserve">Respuesta (10 minutos)</t>
  </si>
  <si>
    <t xml:space="preserve">Instrumento que se usa primero</t>
  </si>
  <si>
    <t xml:space="preserve">Mecanismo automático de precios (DS 5652) con suavizado trimestral + bono focalizado transitorio a transporte público y productores (registro PEPE)</t>
  </si>
  <si>
    <t xml:space="preserve">Comunicación + subasta de divisas con reglas; alza de tasas de títulos BCB; nada de controles ni tipos múltiples</t>
  </si>
  <si>
    <t xml:space="preserve">Corredores humanitarios de alimentos/combustible, importación privada autorizada (DS 5644) y diálogo; reprogramar gasto</t>
  </si>
  <si>
    <t xml:space="preserve">Liquidez de emergencia (ALE) con garantía, intervención temprana de ASFI y plan de resolución del banco sistémico</t>
  </si>
  <si>
    <t xml:space="preserve">Decretos de administración tributaria (sin ley), reprogramar inversión no prioritaria y usar depósitos del SPNF en BCB</t>
  </si>
  <si>
    <t xml:space="preserve">Costo que se acepta</t>
  </si>
  <si>
    <t xml:space="preserve">Más inflación transitoria y un costo fiscal de 0,15% del PIB</t>
  </si>
  <si>
    <t xml:space="preserve">Depreciación y menor crédito por tasas altas</t>
  </si>
  <si>
    <t xml:space="preserve">Pérdida de producción del trimestre y 0,1% del PIB en compensaciones</t>
  </si>
  <si>
    <t xml:space="preserve">Costo de recapitalización (0,8% PIB) y expansión temporal de la base</t>
  </si>
  <si>
    <t xml:space="preserve">Menor inversión pública y caída de depósitos fiscales</t>
  </si>
  <si>
    <t xml:space="preserve">Objetivo que se protege prioritariamente</t>
  </si>
  <si>
    <t xml:space="preserve">Reservas y saldo primario (no volver a congelar precios)</t>
  </si>
  <si>
    <t xml:space="preserve">Reservas (piso de RIN) y ancla nominal</t>
  </si>
  <si>
    <t xml:space="preserve">Abastecimiento y precios de alimentos</t>
  </si>
  <si>
    <t xml:space="preserve">Depósitos y sistema de pagos</t>
  </si>
  <si>
    <t xml:space="preserve">Cero crédito del BCB y saldo primario</t>
  </si>
  <si>
    <t xml:space="preserve">Cálculo de impactos sobre el escenario seleccionado</t>
  </si>
  <si>
    <t xml:space="preserve">Perfil temporal</t>
  </si>
  <si>
    <t xml:space="preserve">Perfil: Shock petrolero (+25%)</t>
  </si>
  <si>
    <t xml:space="preserve">Perfil: Crisis de confianza</t>
  </si>
  <si>
    <t xml:space="preserve">Perfil: Bloqueos (3 semanas)</t>
  </si>
  <si>
    <t xml:space="preserve">Perfil: Crisis bancaria</t>
  </si>
  <si>
    <t xml:space="preserve">Perfil: Freno legislativo</t>
  </si>
  <si>
    <t xml:space="preserve">Δ crecimiento (pp)</t>
  </si>
  <si>
    <t xml:space="preserve">Δ inflación (pp)</t>
  </si>
  <si>
    <t xml:space="preserve">Δ saldo primario (pp PIB)</t>
  </si>
  <si>
    <t xml:space="preserve">Δ RIN del año (US$ mn)</t>
  </si>
  <si>
    <t xml:space="preserve">Δ crédito privado (pp)</t>
  </si>
  <si>
    <t xml:space="preserve">Δ base monetaria (Bs mn)</t>
  </si>
  <si>
    <t xml:space="preserve">Δ deuda por recapitalización (pp PIB)</t>
  </si>
  <si>
    <t xml:space="preserve">Impacto aplicado (shock elegido)</t>
  </si>
  <si>
    <t xml:space="preserve">Escenario seleccionado (+ shock) frente a la Base FMI</t>
  </si>
  <si>
    <t xml:space="preserve">Alimenta el Dashboard. Cambie la selección en el Dashboard.</t>
  </si>
  <si>
    <t xml:space="preserve">Crecimiento PIB real (%)</t>
  </si>
  <si>
    <t xml:space="preserve">Inflación promedio (%)</t>
  </si>
  <si>
    <t xml:space="preserve">Inflación fin de período (%)</t>
  </si>
  <si>
    <t xml:space="preserve">Saldo primario (% PIB)</t>
  </si>
  <si>
    <t xml:space="preserve">Saldo primario (Bs mn)</t>
  </si>
  <si>
    <t xml:space="preserve">Saldo global (% PIB)</t>
  </si>
  <si>
    <t xml:space="preserve">Deuda SPNF (% PIB)</t>
  </si>
  <si>
    <t xml:space="preserve">RIN del programa (US$ mn)</t>
  </si>
  <si>
    <t xml:space="preserve">RIB programa / ARA (%)</t>
  </si>
  <si>
    <t xml:space="preserve">Crédito privado (variación %)</t>
  </si>
  <si>
    <t xml:space="preserve">Base monetaria (Bs mn)</t>
  </si>
  <si>
    <t xml:space="preserve">Crédito BCB requerido (Bs mn)</t>
  </si>
  <si>
    <t xml:space="preserve">Asistencia social (Bs mn)</t>
  </si>
  <si>
    <t xml:space="preserve">Δ Empleo vs FMI (miles)</t>
  </si>
  <si>
    <t xml:space="preserve">Δ Pobreza vs FMI (pp)</t>
  </si>
  <si>
    <t xml:space="preserve">Δ Gini vs FMI (pts)</t>
  </si>
  <si>
    <t xml:space="preserve">Metas a dic-2026 (seleccionado + shock)</t>
  </si>
  <si>
    <t xml:space="preserve">Variación RIN (US$ mn)</t>
  </si>
  <si>
    <t xml:space="preserve">Crédito BCB al sector público (Bs mn)</t>
  </si>
  <si>
    <t xml:space="preserve">Evaluación de escenarios: metas 2026 e índice de eficiencia</t>
  </si>
  <si>
    <t xml:space="preserve">Sin shocks. Índice 0–100: normalización mín–máx entre escenarios, ponderada (pesos editables).</t>
  </si>
  <si>
    <t xml:space="preserve">Meta / peso</t>
  </si>
  <si>
    <t xml:space="preserve">Crédito BCB al sector público 2026 (Bs mn)</t>
  </si>
  <si>
    <t xml:space="preserve">Asistencia social 2026 (Bs mn)</t>
  </si>
  <si>
    <t xml:space="preserve">Base monetaria dic-2026 (Bs mn)</t>
  </si>
  <si>
    <t xml:space="preserve">✔ Meta saldo primario</t>
  </si>
  <si>
    <t xml:space="preserve">✔ Meta RIN</t>
  </si>
  <si>
    <t xml:space="preserve">✔ Meta crédito BCB = 0</t>
  </si>
  <si>
    <t xml:space="preserve">✔ Meta asistencia social</t>
  </si>
  <si>
    <t xml:space="preserve">✔ Meta base monetaria</t>
  </si>
  <si>
    <t xml:space="preserve">Crédito BCB requerido 2026–2029 (Bs mn)</t>
  </si>
  <si>
    <t xml:space="preserve">Crecimiento real acumulado 2026–2029 (%)</t>
  </si>
  <si>
    <t xml:space="preserve">Inflación promedio 2026–2029 (%)</t>
  </si>
  <si>
    <t xml:space="preserve">Saldo primario 2029 (% PIB)</t>
  </si>
  <si>
    <t xml:space="preserve">Deuda SPNF 2029 (% PIB)</t>
  </si>
  <si>
    <t xml:space="preserve">RIN programa 2029 (US$ mn)</t>
  </si>
  <si>
    <t xml:space="preserve">RIB / ARA 2029 (%)</t>
  </si>
  <si>
    <t xml:space="preserve">Crédito privado promedio 2027–2029 (%)</t>
  </si>
  <si>
    <t xml:space="preserve">Asistencia social acumulada 2026–2029 (Bs mn)</t>
  </si>
  <si>
    <t xml:space="preserve">Δ Empleo 2029 vs FMI (miles)</t>
  </si>
  <si>
    <t xml:space="preserve">Δ Pobreza 2029 vs FMI (pp)</t>
  </si>
  <si>
    <t xml:space="preserve">Δ Gini 2029 vs FMI (pts)</t>
  </si>
  <si>
    <t xml:space="preserve">Peso</t>
  </si>
  <si>
    <t xml:space="preserve">Dirección</t>
  </si>
  <si>
    <t xml:space="preserve">  Cumplimiento de metas 2026</t>
  </si>
  <si>
    <t xml:space="preserve">Mayor = mejor</t>
  </si>
  <si>
    <t xml:space="preserve">  Crecimiento acumulado</t>
  </si>
  <si>
    <t xml:space="preserve">  Inflación promedio</t>
  </si>
  <si>
    <t xml:space="preserve">Menor = mejor</t>
  </si>
  <si>
    <t xml:space="preserve">  Deuda 2029</t>
  </si>
  <si>
    <t xml:space="preserve">  RIN 2029</t>
  </si>
  <si>
    <t xml:space="preserve">  Pobreza 2029</t>
  </si>
  <si>
    <t xml:space="preserve">  Empleo 2029</t>
  </si>
  <si>
    <t xml:space="preserve">ÍNDICE DE EFICIENCIA</t>
  </si>
  <si>
    <t xml:space="preserve">El presupuesto contrafactual (misión 3)</t>
  </si>
  <si>
    <t xml:space="preserve">FMI vs escenario seleccionado en el Dashboard (+ shock si se eligió). Las justificaciones se refieren al escenario E6; ajústelas si defiende otro.</t>
  </si>
  <si>
    <t xml:space="preserve">Justificación (canal de transmisión)</t>
  </si>
  <si>
    <t xml:space="preserve">¿Qué gastos o ingresos cambian? Desde 2027: +0,6 pp inversión productiva financiada en parte por recorte de gasto corriente (−0,4/−0,5 pp: reestructuración de EP no viables, compras) y reforma tributaria adelantada (anti-evasión IVA, renta personal/patrimonio, revisión de exenciones con realización 60–85%). 2026 no se toca para cumplir el piso de −Bs 33.000 mn.</t>
  </si>
  <si>
    <t xml:space="preserve">¿Qué mecanismos? Subsidio diésel productivo focalizado transitorio en 2027 (−traspaso a transporte/alimentos), suavizado cambiario con reglas (−1 pp depreciación × traspaso 0,35) compensan la base monetaria algo mayor (+0,5 pp) y la presión de demanda.</t>
  </si>
  <si>
    <t xml:space="preserve">¿De dónde provienen las divisas? CAF/BID adicionales (US$ 700 mn 2027–29), menos ventas de divisas acotadas por regla (US$ 400 mn en 2027–29) e importaciones inducidas por más crecimiento (elasticidad 1,5).</t>
  </si>
  <si>
    <t xml:space="preserve">¿Cómo cambian consumo e inversión? Inversión pública con multiplicador 0,7 y efecto oferta; transferencias focalizadas (0,6); crédito productivo (+3 pp, elasticidad 0,12). Restan: impuestos progresivos (0,15) y recorte corriente (0,4).</t>
  </si>
  <si>
    <t xml:space="preserve">¿Quién recibe la protección? Hogares del registro PEPE (84% de los pobres) y adultos mayores no pensionistas; +0,25 pp PIB en 2027 mientras se retira el subsidio y se construye el registro social unificado (SB mar-2027).</t>
  </si>
  <si>
    <t xml:space="preserve">Crédito productivo (var. %)</t>
  </si>
  <si>
    <t xml:space="preserve">¿Qué ocurre con tasas y disponibilidad? Encaje diferenciado para cartera productiva y fondos de garantía (FOGACP) sin topes de tasas; neutral en base monetaria; parte se compensa por desplazamiento del financiamiento interno del Estado.</t>
  </si>
  <si>
    <t xml:space="preserve">Sostenibilidad: el mayor crecimiento nominal y la recaudación adelantada compensan el gasto en inversión; se exige que la deuda 2029 no supere la senda FMI.</t>
  </si>
  <si>
    <t xml:space="preserve">Regla de la consigna: no vale escribir 'mayor crecimiento'. Cada cifra alternativa sale del Motor y de los parámetros de 'Supuestos'; si un parámetro se discute, cámbielo y el presupuesto se recalcula.</t>
  </si>
  <si>
    <t xml:space="preserve">Segunda misión: cuatro contrafactuales (fiscal, monetario, cambiario, tributario) + social</t>
  </si>
  <si>
    <t xml:space="preserve">Distinguir lo que exige el acuerdo de lo que proponemos. Las cifras de costo se vinculan al Motor (E1–E5, año 2027).</t>
  </si>
  <si>
    <t xml:space="preserve">Área</t>
  </si>
  <si>
    <t xml:space="preserve">Exige el acuerdo FMI</t>
  </si>
  <si>
    <t xml:space="preserve">Pregunta contrafactual</t>
  </si>
  <si>
    <t xml:space="preserve">¿Qué instrumento cambia?</t>
  </si>
  <si>
    <t xml:space="preserve">¿Cómo funciona?</t>
  </si>
  <si>
    <t xml:space="preserve">¿Quién gana?</t>
  </si>
  <si>
    <t xml:space="preserve">¿Quién pierde?</t>
  </si>
  <si>
    <t xml:space="preserve">¿Cuánto cuesta? (2027)</t>
  </si>
  <si>
    <t xml:space="preserve">¿Cómo se financia?</t>
  </si>
  <si>
    <t xml:space="preserve">¿Qué riesgo podría hacerla fracasar?</t>
  </si>
  <si>
    <t xml:space="preserve">Fiscal</t>
  </si>
  <si>
    <t xml:space="preserve">Consolidación anticipada: déficit primario −6,5% (2026) → −3,0% (2027) → +0,6% (2029); recorte de inversión pública 1 pp en 2026.</t>
  </si>
  <si>
    <t xml:space="preserve">¿Reducir el déficit con otra velocidad protegiendo la inversión pública productiva?</t>
  </si>
  <si>
    <t xml:space="preserve">Senda de inversión pública: +1,0 pp PIB en 2027 sobre la senda FMI (E1).</t>
  </si>
  <si>
    <t xml:space="preserve">Proyectos con evaluación costo-beneficio (PIMA), contenido local y efecto oferta; multiplicador 0,7 vs 0,4 del gasto corriente.</t>
  </si>
  <si>
    <t xml:space="preserve">Construcción, proveedores locales, regiones con proyectos, empleo formal.</t>
  </si>
  <si>
    <t xml:space="preserve">Tenedores de deuda (más riesgo), sectores desplazados por el financiamiento interno.</t>
  </si>
  <si>
    <t xml:space="preserve">CAF/BID préstamos de proyecto (US$ 500 mn 2027) + mercado interno (tope 1% PIB). Cero BCB.</t>
  </si>
  <si>
    <t xml:space="preserve">Credibilidad: si el desvío supera 0,5 pp sube la prima de riesgo; ejecución lenta; meta 2026 incumplida si se adelanta al 4º trimestre.</t>
  </si>
  <si>
    <t xml:space="preserve">Monetaria</t>
  </si>
  <si>
    <t xml:space="preserve">Base monetaria como ancla nominal con metas trimestrales; cero financiamiento al Estado; eliminar topes de tasas y cuotas de crédito (jun-2027).</t>
  </si>
  <si>
    <t xml:space="preserve">¿Estabilizar precios sin restringir excesivamente el crédito?</t>
  </si>
  <si>
    <t xml:space="preserve">Encaje legal diferenciado para cartera productiva + fondos de garantía; base monetaria +1,5 pp en 2027 (E2).</t>
  </si>
  <si>
    <t xml:space="preserve">Libera liquidez hacia PyMEs y agro sin bajar la tasa de política; crédito +4 pp; elasticidad del PIB 0,12.</t>
  </si>
  <si>
    <t xml:space="preserve">PyMEs, productores, bancos con cartera productiva.</t>
  </si>
  <si>
    <t xml:space="preserve">Ahorristas (tasas reales menores); credibilidad del ancla si la expansión se desborda.</t>
  </si>
  <si>
    <t xml:space="preserve">Neutral fiscalmente; costo cuasi-fiscal menor del BCB.</t>
  </si>
  <si>
    <t xml:space="preserve">Traspaso a precios y a dólar si la demanda de dinero no se recupera; selección adversa de cartera dirigida.</t>
  </si>
  <si>
    <t xml:space="preserve">Cambiaria</t>
  </si>
  <si>
    <t xml:space="preserve">Tipo de cambio flexible determinado por el mercado; intervención solo ante condiciones desordenadas; acumulación de reservas.</t>
  </si>
  <si>
    <t xml:space="preserve">¿Una banda explícita administraría mejor la volatilidad?</t>
  </si>
  <si>
    <t xml:space="preserve">Banda deslizante ±7,5% con intervención en los bordes (E3). Alternativa E6: flotación administrada con regla de subasta.</t>
  </si>
  <si>
    <t xml:space="preserve">Ancla expectativas, reduce depreciación (−4 pp en 2027) y el traspaso (0,35) a precios.</t>
  </si>
  <si>
    <t xml:space="preserve">Importadores, deudores en dólares, hogares (menos inflación).</t>
  </si>
  <si>
    <t xml:space="preserve">Reservas: se venden divisas; exportadores (tipo de cambio menos competitivo).</t>
  </si>
  <si>
    <t xml:space="preserve">Con reservas propias; requiere colchón FLAR (US$ 700 mn) y regla de salida.</t>
  </si>
  <si>
    <t xml:space="preserve">Ataque especulativo si las RIN son bajas (≈1 mes de importaciones): la banda puede consumir reservas y romperse (ver shock de confianza).</t>
  </si>
  <si>
    <t xml:space="preserve">Tributaria</t>
  </si>
  <si>
    <t xml:space="preserve">Movilizar ≥1% PIB desde 2028 (estrategia, SB mar-2027); no nuevas exenciones sin compensación. Medidas 2025–26 restan 0,9% PIB.</t>
  </si>
  <si>
    <t xml:space="preserve">¿Qué combinación de bases, progresividad, simplificación y menor evasión recaudaría más con menor daño productivo?</t>
  </si>
  <si>
    <t xml:space="preserve">Adelantar a 2027: anti-evasión IVA (facturación electrónica), renta personal y patrimonio, revisión de exenciones (E4).</t>
  </si>
  <si>
    <t xml:space="preserve">Recaudación potencial 1,2 pp en 2027 con realización 60–85%; multiplicadores bajos (0,10–0,30).</t>
  </si>
  <si>
    <t xml:space="preserve">Estado, hogares pobres (Gini −), contribuyentes cumplidos (competencia leal).</t>
  </si>
  <si>
    <t xml:space="preserve">Evasores, deciles altos, sectores con exenciones.</t>
  </si>
  <si>
    <t xml:space="preserve">Se autofinancia; reduce necesidad de deuda.</t>
  </si>
  <si>
    <t xml:space="preserve">Rechazo legislativo (freno legislativo), resistencia de gremios, capacidad del SIN.</t>
  </si>
  <si>
    <t xml:space="preserve">Social / subsidio</t>
  </si>
  <si>
    <t xml:space="preserve">Eliminar subsidio a combustibles a inicios de 2027 (mecanismo automático DS 5652); asistencia social ≥ Bs 9.300 mn (meta indicativa).</t>
  </si>
  <si>
    <t xml:space="preserve">¿Menor costo social del ajuste?</t>
  </si>
  <si>
    <t xml:space="preserve">Diésel productivo focalizado transitorio (0,8 pp 2027) + asistencia +0,4 pp (E5).</t>
  </si>
  <si>
    <t xml:space="preserve">Amortigua inflación de transporte/alimentos; transferencias con multiplicador 0,6 y efecto directo en pobreza.</t>
  </si>
  <si>
    <t xml:space="preserve">Transportistas, agro, hogares pobres.</t>
  </si>
  <si>
    <t xml:space="preserve">Contribuyentes (costo fiscal), reservas (contrabando 30% del subsidio).</t>
  </si>
  <si>
    <t xml:space="preserve">Recorte de gasto corriente (−0,4 pp) y Banco Mundial (US$ 200 mn).</t>
  </si>
  <si>
    <t xml:space="preserve">Captura del subsidio por contrabando; postergar la reforma reabre el déficit; shock petrolero eleva el costo.</t>
  </si>
  <si>
    <t xml:space="preserve">Primera misión: auditar el diagnóstico del FMI</t>
  </si>
  <si>
    <t xml:space="preserve">Regla: cada crítica identifica un supuesto, presenta evidencia y explica cómo cambiaría la política recomendada.</t>
  </si>
  <si>
    <t xml:space="preserve">Pregunta</t>
  </si>
  <si>
    <t xml:space="preserve">Lo que dice el FMI (evidencia del informe)</t>
  </si>
  <si>
    <t xml:space="preserve">Supuesto discutible / hipótesis alternativa</t>
  </si>
  <si>
    <t xml:space="preserve">Evidencia que permitiría contrastarla</t>
  </si>
  <si>
    <t xml:space="preserve">¿Naturaleza de la crisis?</t>
  </si>
  <si>
    <t xml:space="preserve">Crisis fiscal y de balanza de pagos 2024–25 causada por déficits financiados por el BCB (6,8% PIB en 2025), paridad sobrevaluada e intervención estatal distorsionadora (párr. 1, 9).</t>
  </si>
  <si>
    <t xml:space="preserve">Componente productivo/estructural subestimado: caída de producción de gas (−20% en 2026) y agotamiento del modelo extractivo explican la pérdida de divisas tanto como el déficit.</t>
  </si>
  <si>
    <t xml:space="preserve">Descomposición de la caída de exportaciones (precio vs volumen de gas); reservas probadas; balanza energética 2014–2026.</t>
  </si>
  <si>
    <t xml:space="preserve">¿Causas vs consecuencias?</t>
  </si>
  <si>
    <t xml:space="preserve">Déficit → monetización → brecha cambiaria → inflación y pérdida de reservas.</t>
  </si>
  <si>
    <t xml:space="preserve">Parte de la inflación 2025–26 responde a costos (combustibles +86%/+160%, bloqueos, depreciación) y no solo a exceso de dinero: la inflación cayó de 20% a 5% (ago-2026) con base monetaria −9%.</t>
  </si>
  <si>
    <t xml:space="preserve">Inflación subyacente vs alimentos/transporte; correlación base monetaria–IPC con rezagos; precios relativos post-dic-2025.</t>
  </si>
  <si>
    <t xml:space="preserve">¿Supuestos del programa?</t>
  </si>
  <si>
    <t xml:space="preserve">Contracción −3,0% (2026) y −1,5% (2027); inflación de un dígito en 2028; financiamiento IFI de US$ 4.000 mn; respuesta de inversión privada a reformas.</t>
  </si>
  <si>
    <t xml:space="preserve">Multiplicadores fiscales bajos implícitos: un recorte de inversión de 1 pp en 2026 tiene costo de crecimiento y de potencial mayor al asumido; supuesto optimista de catalización privada.</t>
  </si>
  <si>
    <t xml:space="preserve">Ejecución de inversión pública vs PIB trimestral; IED neta (negativa en toda la proyección, Tabla 1); encuestas de inversión.</t>
  </si>
  <si>
    <t xml:space="preserve">¿Riesgos que reconoce?</t>
  </si>
  <si>
    <t xml:space="preserve">Términos de intercambio (petróleo), malestar social, capacidad institucional limitada, fragmentación política y demoras del Congreso, datos débiles (párr. 33).</t>
  </si>
  <si>
    <t xml:space="preserve">El riesgo social está mitigado solo con asistencia mínima (0,6% PIB): con inflación de transporte y salarios públicos indexados al 30–50% de la inflación, la pérdida de ingreso real es grande.</t>
  </si>
  <si>
    <t xml:space="preserve">Evolución del salario real público y privado; pobreza trimestral (EH); número de conflictos/bloqueos.</t>
  </si>
  <si>
    <t xml:space="preserve">¿Qué puede faltar?</t>
  </si>
  <si>
    <t xml:space="preserve">Énfasis en consolidación por el gasto (salarios −1,3 pp, bienes −1,3 pp, subsidios −6,2 pp) y movilización de ingresos recién desde 2028.</t>
  </si>
  <si>
    <t xml:space="preserve">Falta una estrategia productiva y tributaria progresiva temprana; la secuencia carga el ajuste en hogares y obra pública antes que en la base tributaria (exenciones 2025–26 cuestan 0,9% PIB).</t>
  </si>
  <si>
    <t xml:space="preserve">Gasto tributario por sector; brecha de IVA; incidencia distributiva del ajuste (microsimulación BM).</t>
  </si>
  <si>
    <t xml:space="preserve">Cuarta misión: la misión del FMI objeta</t>
  </si>
  <si>
    <t xml:space="preserve">Respuestas para el escenario E6, con cifras vinculadas al Motor y a Shocks.</t>
  </si>
  <si>
    <t xml:space="preserve">Pregunta difícil</t>
  </si>
  <si>
    <t xml:space="preserve">Respuesta del equipo</t>
  </si>
  <si>
    <t xml:space="preserve">Dato del modelo</t>
  </si>
  <si>
    <t xml:space="preserve">¿Cómo financiarán un déficit mayor sin nuevo crédito del BCB?</t>
  </si>
  <si>
    <t xml:space="preserve">Fuentes identificadas: CAF/BID adicional (US$ 300 mn/año 2027–28) + colocación interna con tope de 1% PIB; la brecha residual se fuerza a cero (criterio continuo). Además el déficit no aumenta en neto: la reforma tributaria y el recorte corriente compensan la inversión.</t>
  </si>
  <si>
    <t xml:space="preserve">¿Qué harán si el petróleo sube 25%?</t>
  </si>
  <si>
    <t xml:space="preserve">No volver a congelar precios: el mecanismo automático traslada el alza (≈2 pp de inflación), con bono focalizado transitorio a transporte/agro. En 2026 (precios congelados) el costo es fiscal y de reservas.</t>
  </si>
  <si>
    <t xml:space="preserve">¿Cómo impedirán que una banda cambiaria consuma reservas?</t>
  </si>
  <si>
    <t xml:space="preserve">E6 no adopta banda rígida: flotación administrada con subastas preanunciadas y tope de ventas (US$ 150 mn en 2027). Bajo banda (E3) una crisis de confianza consume 80% de la demanda adicional de dólares; con flotación, 20%.</t>
  </si>
  <si>
    <t xml:space="preserve">¿Cuánto recaudarán realmente las reformas y en qué plazo?</t>
  </si>
  <si>
    <t xml:space="preserve">Se aplica tasa de realización: anti-evasión 70%, progresividad 60%, exenciones 85%. 2027: recaudación realizada menor al potencial; madura en 2028–29.</t>
  </si>
  <si>
    <t xml:space="preserve">¿Cómo evitarán que la política monetaria más expansiva aumente la inflación?</t>
  </si>
  <si>
    <t xml:space="preserve">El crédito productivo opera por encaje diferenciado (neutral en base monetaria); la base solo crece +0,5 pp sobre el programa en 2027–28 y se respeta el techo de dic-2026. Regla de reversión si la inflación supera la senda en 1 pp.</t>
  </si>
  <si>
    <t xml:space="preserve">¿Qué harán si el Congreso rechaza las reformas?</t>
  </si>
  <si>
    <t xml:space="preserve">Plan B: medidas administrativas sin ley (facturación, fiscalización, revisión de exenciones por decreto), reprogramar inversión no prioritaria y usar depósitos del SPNF en el BCB; meta de saldo primario se protege antes que la inversión.</t>
  </si>
  <si>
    <t xml:space="preserve">Ver hoja Shocks: 'Freno legislativo'</t>
  </si>
  <si>
    <t xml:space="preserve">Sexta misión: negociar un acuerdo alternativo</t>
  </si>
  <si>
    <t xml:space="preserve">No basta pedir más tiempo o dinero: metas verificables, calendario y seguimiento.</t>
  </si>
  <si>
    <t xml:space="preserve">Condicionalidad</t>
  </si>
  <si>
    <t xml:space="preserve">Programa FMI</t>
  </si>
  <si>
    <t xml:space="preserve">Propuesta alternativa (verificable)</t>
  </si>
  <si>
    <t xml:space="preserve">Seguimiento / indicador</t>
  </si>
  <si>
    <t xml:space="preserve">Piso −Bs 33.000 mn (dic-2026); −3,0% PIB en 2027.</t>
  </si>
  <si>
    <t xml:space="preserve">Mantener piso 2026. En 2027 piso de saldo primario 'excluyendo inversión productiva evaluada por PIMA' con tope de 0,6 pp PIB, compensado por recaudación adicional comprometida.</t>
  </si>
  <si>
    <t xml:space="preserve">Trimestral desde mar-2027</t>
  </si>
  <si>
    <t xml:space="preserve">Saldo primario ajustado; cartera PIMA publicada</t>
  </si>
  <si>
    <t xml:space="preserve">Movilización de ingresos</t>
  </si>
  <si>
    <t xml:space="preserve">Estrategia (SB mar-2027); ≥1% PIB desde 2028.</t>
  </si>
  <si>
    <t xml:space="preserve">Nuevo SB: ley de renta personal/patrimonio presentada en dic-2026 y decreto de revisión de exenciones en mar-2027; meta indicativa de recaudación 2027 (+0,8 pp PIB).</t>
  </si>
  <si>
    <t xml:space="preserve">Dic-2026 / mar-2027</t>
  </si>
  <si>
    <t xml:space="preserve">Recaudación mensual SIN/Aduana</t>
  </si>
  <si>
    <t xml:space="preserve">Eliminación a inicios de 2027 por mecanismo automático.</t>
  </si>
  <si>
    <t xml:space="preserve">Mecanismo automático para gasolina y diésel general; diésel productivo focalizado (registro) con tope 0,2 pp PIB y eliminación en dic-2027.</t>
  </si>
  <si>
    <t xml:space="preserve">Ene–dic 2027</t>
  </si>
  <si>
    <t xml:space="preserve">Costo publicado mensualmente (Recuadro 1)</t>
  </si>
  <si>
    <t xml:space="preserve">Asistencia social</t>
  </si>
  <si>
    <t xml:space="preserve">Piso Bs 9.300 mn (meta indicativa).</t>
  </si>
  <si>
    <t xml:space="preserve">Piso más alto en 2027 (+0,25 pp PIB) ligado al registro social unificado.</t>
  </si>
  <si>
    <t xml:space="preserve">SB mar-2027</t>
  </si>
  <si>
    <t xml:space="preserve">Gasto ejecutado y cobertura del quintil 1</t>
  </si>
  <si>
    <t xml:space="preserve">Política monetaria y crédito</t>
  </si>
  <si>
    <t xml:space="preserve">Techo de base monetaria; eliminar topes de tasas y cuotas (jun-2027).</t>
  </si>
  <si>
    <t xml:space="preserve">Aceptar techo y eliminación de topes; sustituir cuotas por encaje diferenciado transparente y fondos de garantía con cláusula de revisión.</t>
  </si>
  <si>
    <t xml:space="preserve">Jun-2027</t>
  </si>
  <si>
    <t xml:space="preserve">Crédito productivo, mora, base monetaria</t>
  </si>
  <si>
    <t xml:space="preserve">Régimen cambiario</t>
  </si>
  <si>
    <t xml:space="preserve">Flotación; intervención solo ante desorden; marco FXI (SB dic-2026).</t>
  </si>
  <si>
    <t xml:space="preserve">Flotación administrada con reglas: subastas preanunciadas, tope anual de ventas netas (US$ 150 mn) y conservación del piso de RIN.</t>
  </si>
  <si>
    <t xml:space="preserve">Dic-2026</t>
  </si>
  <si>
    <t xml:space="preserve">Ventas BCB publicadas; RIN programa</t>
  </si>
  <si>
    <t xml:space="preserve">Piso de variación de RIN (+US$ 2.400 mn en 2026).</t>
  </si>
  <si>
    <t xml:space="preserve">Se mantiene; ajustador simétrico por desembolsos IFI demorados (para no castigar retrasos legislativos).</t>
  </si>
  <si>
    <t xml:space="preserve">Trimestral</t>
  </si>
  <si>
    <t xml:space="preserve">RIN programa (MTE)</t>
  </si>
  <si>
    <t xml:space="preserve">Pregunta final (individual, ≤300 palabras): ¿Qué medida conservar, modificar y sustituir? ¿Qué evidencia demostraría que la propuesta estaba equivocada? Sugerencia: si con E6 la inflación 2027 supera la senda FMI en más de 1 pp, o la recaudación realizada 2027 queda bajo 0,5 pp PIB, o la prima de riesgo sube pese a cumplir metas, la hipótesis queda refutada.</t>
  </si>
  <si>
    <t xml:space="preserve">índices</t>
  </si>
  <si>
    <t xml:space="preserve">No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</si>
</sst>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#,##0.00;\(#,##0.00\);\-"/>
    <numFmt numFmtId="167" formatCode="0"/>
    <numFmt numFmtId="168" formatCode="0.0"/>
    <numFmt numFmtId="169" formatCode="#,##0.0;\(#,##0.0\);\-"/>
    <numFmt numFmtId="170" formatCode="0.00"/>
    <numFmt numFmtId="171" formatCode="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BFBFBF"/>
      <name val="Arial"/>
      <family val="0"/>
      <charset val="1"/>
    </font>
    <font>
      <sz val="8"/>
      <color rgb="FFBFBFB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00808A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CE3EF"/>
        <bgColor rgb="FFD9EFF0"/>
      </patternFill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00808A"/>
        <bgColor rgb="FF008080"/>
      </patternFill>
    </fill>
    <fill>
      <patternFill patternType="solid">
        <fgColor rgb="FFD9EFF0"/>
        <bgColor rgb="FFDCE3EF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23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</font>
      <fill>
        <patternFill>
          <bgColor rgb="FFA9D08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A"/>
      <rgbColor rgb="FFBFBFBF"/>
      <rgbColor rgb="FF808080"/>
      <rgbColor rgb="FF8EA9C1"/>
      <rgbColor rgb="FF993366"/>
      <rgbColor rgb="FFFFF2CC"/>
      <rgbColor rgb="FFD9EF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DCE3EF"/>
      <rgbColor rgb="FFA9D08E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595959"/>
      <rgbColor rgb="FF878787"/>
      <rgbColor rgb="FF1F3864"/>
      <rgbColor rgb="FF339966"/>
      <rgbColor rgb="FF0061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Crecimiento del PIB real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"FMI"</c:f>
              <c:strCache>
                <c:ptCount val="1"/>
                <c:pt idx="0">
                  <c:v>FMI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Dashboard!$C$44:$F$44</c:f>
              <c:multiLvlStrCache>
                <c:ptCount val="1"/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Dashboard!$J$11:$M$11</c:f>
              <c:numCache>
                <c:formatCode>#,##0.00;\(#,##0.00\);\-</c:formatCode>
                <c:ptCount val="4"/>
                <c:pt idx="0">
                  <c:v>-3</c:v>
                </c:pt>
                <c:pt idx="1">
                  <c:v>-1.5</c:v>
                </c:pt>
                <c:pt idx="2">
                  <c:v>0.5</c:v>
                </c:pt>
                <c:pt idx="3">
                  <c:v>2.5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"Alternativo"</c:f>
              <c:strCache>
                <c:ptCount val="1"/>
                <c:pt idx="0">
                  <c:v>Alternativo</c:v>
                </c:pt>
              </c:strCache>
            </c:strRef>
          </c:tx>
          <c:spPr>
            <a:solidFill>
              <a:srgbClr val="00808a"/>
            </a:solidFill>
            <a:ln w="28080">
              <a:solidFill>
                <a:srgbClr val="00808a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Dashboard!$C$44:$F$44</c:f>
              <c:multiLvlStrCache>
                <c:ptCount val="1"/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Dashboard!$N$11:$Q$11</c:f>
              <c:numCache>
                <c:formatCode>#,##0.00;\(#,##0.00\);\-</c:formatCode>
                <c:ptCount val="4"/>
                <c:pt idx="0">
                  <c:v>-2.97175</c:v>
                </c:pt>
                <c:pt idx="1">
                  <c:v>-0.808</c:v>
                </c:pt>
                <c:pt idx="2">
                  <c:v>1.059</c:v>
                </c:pt>
                <c:pt idx="3">
                  <c:v>2.861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119332"/>
        <c:axId val="45725593"/>
      </c:lineChart>
      <c:catAx>
        <c:axId val="641193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25593"/>
        <c:crosses val="autoZero"/>
        <c:auto val="1"/>
        <c:lblAlgn val="ctr"/>
        <c:lblOffset val="100"/>
        <c:noMultiLvlLbl val="0"/>
      </c:catAx>
      <c:valAx>
        <c:axId val="4572559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193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Inflación promedio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"FMI"</c:f>
              <c:strCache>
                <c:ptCount val="1"/>
                <c:pt idx="0">
                  <c:v>FMI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Dashboard!$C$44:$F$44</c:f>
              <c:multiLvlStrCache>
                <c:ptCount val="1"/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Dashboard!$J$12:$M$12</c:f>
              <c:numCache>
                <c:formatCode>#,##0.00;\(#,##0.00\);\-</c:formatCode>
                <c:ptCount val="4"/>
                <c:pt idx="0">
                  <c:v>12.7</c:v>
                </c:pt>
                <c:pt idx="1">
                  <c:v>15.8</c:v>
                </c:pt>
                <c:pt idx="2">
                  <c:v>8.2</c:v>
                </c:pt>
                <c:pt idx="3">
                  <c:v>7.3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"Alternativo"</c:f>
              <c:strCache>
                <c:ptCount val="1"/>
                <c:pt idx="0">
                  <c:v>Alternativo</c:v>
                </c:pt>
              </c:strCache>
            </c:strRef>
          </c:tx>
          <c:spPr>
            <a:solidFill>
              <a:srgbClr val="00808a"/>
            </a:solidFill>
            <a:ln w="28080">
              <a:solidFill>
                <a:srgbClr val="00808a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Dashboard!$C$44:$F$44</c:f>
              <c:multiLvlStrCache>
                <c:ptCount val="1"/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Dashboard!$N$12:$Q$12</c:f>
              <c:numCache>
                <c:formatCode>#,##0.00;\(#,##0.00\);\-</c:formatCode>
                <c:ptCount val="4"/>
                <c:pt idx="0">
                  <c:v>12.7105625</c:v>
                </c:pt>
                <c:pt idx="1">
                  <c:v>15.8265</c:v>
                </c:pt>
                <c:pt idx="2">
                  <c:v>8.31375</c:v>
                </c:pt>
                <c:pt idx="3">
                  <c:v>7.32725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61838"/>
        <c:axId val="10964835"/>
      </c:lineChart>
      <c:catAx>
        <c:axId val="61618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64835"/>
        <c:crosses val="autoZero"/>
        <c:auto val="1"/>
        <c:lblAlgn val="ctr"/>
        <c:lblOffset val="100"/>
        <c:noMultiLvlLbl val="0"/>
      </c:catAx>
      <c:valAx>
        <c:axId val="1096483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18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Deuda SPNF (% del PIB)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"FMI"</c:f>
              <c:strCache>
                <c:ptCount val="1"/>
                <c:pt idx="0">
                  <c:v>FMI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Dashboard!$C$44:$F$44</c:f>
              <c:multiLvlStrCache>
                <c:ptCount val="1"/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Dashboard!$J$14:$M$14</c:f>
              <c:numCache>
                <c:formatCode>#,##0.00;\(#,##0.00\);\-</c:formatCode>
                <c:ptCount val="4"/>
                <c:pt idx="0">
                  <c:v>100.477694113837</c:v>
                </c:pt>
                <c:pt idx="1">
                  <c:v>95.3612231734795</c:v>
                </c:pt>
                <c:pt idx="2">
                  <c:v>93.1855293042389</c:v>
                </c:pt>
                <c:pt idx="3">
                  <c:v>89.2033737797485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"Alternativo"</c:f>
              <c:strCache>
                <c:ptCount val="1"/>
                <c:pt idx="0">
                  <c:v>Alternativo</c:v>
                </c:pt>
              </c:strCache>
            </c:strRef>
          </c:tx>
          <c:spPr>
            <a:solidFill>
              <a:srgbClr val="00808a"/>
            </a:solidFill>
            <a:ln w="28080">
              <a:solidFill>
                <a:srgbClr val="00808a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Dashboard!$C$44:$F$44</c:f>
              <c:multiLvlStrCache>
                <c:ptCount val="1"/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Dashboard!$N$14:$Q$14</c:f>
              <c:numCache>
                <c:formatCode>#,##0.00;\(#,##0.00\);\-</c:formatCode>
                <c:ptCount val="4"/>
                <c:pt idx="0">
                  <c:v>100.415567325462</c:v>
                </c:pt>
                <c:pt idx="1">
                  <c:v>94.2146383021112</c:v>
                </c:pt>
                <c:pt idx="2">
                  <c:v>90.3144338918579</c:v>
                </c:pt>
                <c:pt idx="3">
                  <c:v>84.8469226445931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749390"/>
        <c:axId val="9374410"/>
      </c:lineChart>
      <c:catAx>
        <c:axId val="617493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4410"/>
        <c:crosses val="autoZero"/>
        <c:auto val="1"/>
        <c:lblAlgn val="ctr"/>
        <c:lblOffset val="100"/>
        <c:noMultiLvlLbl val="0"/>
      </c:catAx>
      <c:valAx>
        <c:axId val="937441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PIB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493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Saldo primario (% del PIB)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"FMI"</c:f>
              <c:strCache>
                <c:ptCount val="1"/>
                <c:pt idx="0">
                  <c:v>FMI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Dashboard!$C$44:$F$44</c:f>
              <c:multiLvlStrCache>
                <c:ptCount val="1"/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Dashboard!$J$13:$M$13</c:f>
              <c:numCache>
                <c:formatCode>#,##0.00;\(#,##0.00\);\-</c:formatCode>
                <c:ptCount val="4"/>
                <c:pt idx="0">
                  <c:v>-6.5</c:v>
                </c:pt>
                <c:pt idx="1">
                  <c:v>-3</c:v>
                </c:pt>
                <c:pt idx="2">
                  <c:v>-0.3</c:v>
                </c:pt>
                <c:pt idx="3">
                  <c:v>0.6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"Alternativo"</c:f>
              <c:strCache>
                <c:ptCount val="1"/>
                <c:pt idx="0">
                  <c:v>Alternativo</c:v>
                </c:pt>
              </c:strCache>
            </c:strRef>
          </c:tx>
          <c:spPr>
            <a:solidFill>
              <a:srgbClr val="00808a"/>
            </a:solidFill>
            <a:ln w="28080">
              <a:solidFill>
                <a:srgbClr val="00808a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Dashboard!$C$44:$F$44</c:f>
              <c:multiLvlStrCache>
                <c:ptCount val="1"/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Dashboard!$N$13:$Q$13</c:f>
              <c:numCache>
                <c:formatCode>#,##0.00;\(#,##0.00\);\-</c:formatCode>
                <c:ptCount val="4"/>
                <c:pt idx="0">
                  <c:v>-6.47685</c:v>
                </c:pt>
                <c:pt idx="1">
                  <c:v>-2.8866</c:v>
                </c:pt>
                <c:pt idx="2">
                  <c:v>0.4518</c:v>
                </c:pt>
                <c:pt idx="3">
                  <c:v>1.6622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815051"/>
        <c:axId val="10535481"/>
      </c:lineChart>
      <c:catAx>
        <c:axId val="538150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35481"/>
        <c:crosses val="autoZero"/>
        <c:auto val="1"/>
        <c:lblAlgn val="ctr"/>
        <c:lblOffset val="100"/>
        <c:noMultiLvlLbl val="0"/>
      </c:catAx>
      <c:valAx>
        <c:axId val="1053548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PIB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150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RIN del programa (US$ 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"FMI"</c:f>
              <c:strCache>
                <c:ptCount val="1"/>
                <c:pt idx="0">
                  <c:v>FMI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Dashboard!$C$44:$F$44</c:f>
              <c:multiLvlStrCache>
                <c:ptCount val="1"/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Dashboard!$J$15:$M$15</c:f>
              <c:numCache>
                <c:formatCode>#,##0;\(#,##0\);\-</c:formatCode>
                <c:ptCount val="4"/>
                <c:pt idx="0">
                  <c:v>-581</c:v>
                </c:pt>
                <c:pt idx="1">
                  <c:v>744</c:v>
                </c:pt>
                <c:pt idx="2">
                  <c:v>1304</c:v>
                </c:pt>
                <c:pt idx="3">
                  <c:v>1878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"Alternativo"</c:f>
              <c:strCache>
                <c:ptCount val="1"/>
                <c:pt idx="0">
                  <c:v>Alternativo</c:v>
                </c:pt>
              </c:strCache>
            </c:strRef>
          </c:tx>
          <c:spPr>
            <a:solidFill>
              <a:srgbClr val="00808a"/>
            </a:solidFill>
            <a:ln w="28080">
              <a:solidFill>
                <a:srgbClr val="00808a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Dashboard!$C$44:$F$44</c:f>
              <c:multiLvlStrCache>
                <c:ptCount val="1"/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Dashboard!$N$15:$Q$15</c:f>
              <c:numCache>
                <c:formatCode>#,##0;\(#,##0\);\-</c:formatCode>
                <c:ptCount val="4"/>
                <c:pt idx="0">
                  <c:v>-586.293485</c:v>
                </c:pt>
                <c:pt idx="1">
                  <c:v>703.749120531915</c:v>
                </c:pt>
                <c:pt idx="2">
                  <c:v>1302.88265053192</c:v>
                </c:pt>
                <c:pt idx="3">
                  <c:v>1800.85605053192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329164"/>
        <c:axId val="26726173"/>
      </c:lineChart>
      <c:catAx>
        <c:axId val="953291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26173"/>
        <c:crosses val="autoZero"/>
        <c:auto val="1"/>
        <c:lblAlgn val="ctr"/>
        <c:lblOffset val="100"/>
        <c:noMultiLvlLbl val="0"/>
      </c:catAx>
      <c:valAx>
        <c:axId val="2672617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US$ mn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291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Crédito al sector privado (var.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"FMI"</c:f>
              <c:strCache>
                <c:ptCount val="1"/>
                <c:pt idx="0">
                  <c:v>FMI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Dashboard!$C$44:$F$44</c:f>
              <c:multiLvlStrCache>
                <c:ptCount val="1"/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Dashboard!$J$16:$M$16</c:f>
              <c:numCache>
                <c:formatCode>#,##0.00;\(#,##0.00\);\-</c:formatCode>
                <c:ptCount val="4"/>
                <c:pt idx="0">
                  <c:v>4</c:v>
                </c:pt>
                <c:pt idx="1">
                  <c:v>7.3</c:v>
                </c:pt>
                <c:pt idx="2">
                  <c:v>7.3</c:v>
                </c:pt>
                <c:pt idx="3">
                  <c:v>9.5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"Alternativo"</c:f>
              <c:strCache>
                <c:ptCount val="1"/>
                <c:pt idx="0">
                  <c:v>Alternativo</c:v>
                </c:pt>
              </c:strCache>
            </c:strRef>
          </c:tx>
          <c:spPr>
            <a:solidFill>
              <a:srgbClr val="00808a"/>
            </a:solidFill>
            <a:ln w="28080">
              <a:solidFill>
                <a:srgbClr val="00808a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Dashboard!$C$44:$F$44</c:f>
              <c:multiLvlStrCache>
                <c:ptCount val="1"/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Dashboard!$N$16:$Q$16</c:f>
              <c:numCache>
                <c:formatCode>#,##0.00;\(#,##0.00\);\-</c:formatCode>
                <c:ptCount val="4"/>
                <c:pt idx="0">
                  <c:v>4.25</c:v>
                </c:pt>
                <c:pt idx="1">
                  <c:v>10.55</c:v>
                </c:pt>
                <c:pt idx="2">
                  <c:v>10.3</c:v>
                </c:pt>
                <c:pt idx="3">
                  <c:v>11.5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769335"/>
        <c:axId val="84397902"/>
      </c:lineChart>
      <c:catAx>
        <c:axId val="31769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97902"/>
        <c:crosses val="autoZero"/>
        <c:auto val="1"/>
        <c:lblAlgn val="ctr"/>
        <c:lblOffset val="100"/>
        <c:noMultiLvlLbl val="0"/>
      </c:catAx>
      <c:valAx>
        <c:axId val="8439790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693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Índice de eficiencia (0–100)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"Índice"</c:f>
              <c:strCache>
                <c:ptCount val="1"/>
                <c:pt idx="0">
                  <c:v>Índice</c:v>
                </c:pt>
              </c:strCache>
            </c:strRef>
          </c:tx>
          <c:spPr>
            <a:solidFill>
              <a:srgbClr val="00808a"/>
            </a:solidFill>
            <a:ln w="0">
              <a:solidFill>
                <a:srgbClr val="00808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Dashboard!$C$38:$I$38</c:f>
              <c:multiLvlStrCache>
                <c:ptCount val="1"/>
                <c:lvl>
                  <c:pt idx="0">
                    <c:v>E6 Alternativo integrado</c:v>
                  </c:pt>
                </c:lvl>
                <c:lvl>
                  <c:pt idx="0">
                    <c:v>E5 Protección social</c:v>
                  </c:pt>
                </c:lvl>
                <c:lvl>
                  <c:pt idx="0">
                    <c:v>E4 Tributaria progresiva</c:v>
                  </c:pt>
                </c:lvl>
                <c:lvl>
                  <c:pt idx="0">
                    <c:v>E3 Banda cambiaria</c:v>
                  </c:pt>
                </c:lvl>
                <c:lvl>
                  <c:pt idx="0">
                    <c:v>E2 Monetaria-crédito</c:v>
                  </c:pt>
                </c:lvl>
                <c:lvl>
                  <c:pt idx="0">
                    <c:v>E1 Fiscal gradual</c:v>
                  </c:pt>
                </c:lvl>
                <c:lvl>
                  <c:pt idx="0">
                    <c:v>Base FMI</c:v>
                  </c:pt>
                </c:lvl>
              </c:multiLvlStrCache>
            </c:multiLvlStrRef>
          </c:cat>
          <c:val>
            <c:numRef>
              <c:f>Dashboard!$C$36:$I$36</c:f>
              <c:numCache>
                <c:formatCode>0.0</c:formatCode>
                <c:ptCount val="7"/>
                <c:pt idx="0">
                  <c:v>49.3887747881985</c:v>
                </c:pt>
                <c:pt idx="1">
                  <c:v>52.1885899176694</c:v>
                </c:pt>
                <c:pt idx="2">
                  <c:v>70.4229545062715</c:v>
                </c:pt>
                <c:pt idx="3">
                  <c:v>24.4846644841366</c:v>
                </c:pt>
                <c:pt idx="4">
                  <c:v>49.5848853031481</c:v>
                </c:pt>
                <c:pt idx="5">
                  <c:v>53.0929566157628</c:v>
                </c:pt>
                <c:pt idx="6">
                  <c:v>85.9333315572166</c:v>
                </c:pt>
              </c:numCache>
            </c:numRef>
          </c:val>
        </c:ser>
        <c:gapWidth val="150"/>
        <c:overlap val="0"/>
        <c:axId val="93325583"/>
        <c:axId val="67180358"/>
      </c:barChart>
      <c:catAx>
        <c:axId val="9332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80358"/>
        <c:crosses val="autoZero"/>
        <c:auto val="1"/>
        <c:lblAlgn val="ctr"/>
        <c:lblOffset val="100"/>
        <c:noMultiLvlLbl val="0"/>
      </c:catAx>
      <c:valAx>
        <c:axId val="67180358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255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Saldo primario 2026 vs meta (Bs 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"Saldo primario 2026"</c:f>
              <c:strCache>
                <c:ptCount val="1"/>
                <c:pt idx="0">
                  <c:v>Saldo primario 2026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Dashboard!$C$38:$I$38</c:f>
              <c:multiLvlStrCache>
                <c:ptCount val="1"/>
                <c:lvl>
                  <c:pt idx="0">
                    <c:v>E6 Alternativo integrado</c:v>
                  </c:pt>
                </c:lvl>
                <c:lvl>
                  <c:pt idx="0">
                    <c:v>E5 Protección social</c:v>
                  </c:pt>
                </c:lvl>
                <c:lvl>
                  <c:pt idx="0">
                    <c:v>E4 Tributaria progresiva</c:v>
                  </c:pt>
                </c:lvl>
                <c:lvl>
                  <c:pt idx="0">
                    <c:v>E3 Banda cambiaria</c:v>
                  </c:pt>
                </c:lvl>
                <c:lvl>
                  <c:pt idx="0">
                    <c:v>E2 Monetaria-crédito</c:v>
                  </c:pt>
                </c:lvl>
                <c:lvl>
                  <c:pt idx="0">
                    <c:v>E1 Fiscal gradual</c:v>
                  </c:pt>
                </c:lvl>
                <c:lvl>
                  <c:pt idx="0">
                    <c:v>Base FMI</c:v>
                  </c:pt>
                </c:lvl>
              </c:multiLvlStrCache>
            </c:multiLvlStrRef>
          </c:cat>
          <c:val>
            <c:numRef>
              <c:f>Dashboard!$C$39:$I$39</c:f>
              <c:numCache>
                <c:formatCode>#,##0;\(#,##0\);\-</c:formatCode>
                <c:ptCount val="7"/>
                <c:pt idx="0">
                  <c:v>-32869</c:v>
                </c:pt>
                <c:pt idx="1">
                  <c:v>-33413.370325</c:v>
                </c:pt>
                <c:pt idx="2">
                  <c:v>-32838.61654</c:v>
                </c:pt>
                <c:pt idx="3">
                  <c:v>-32884.19173</c:v>
                </c:pt>
                <c:pt idx="4">
                  <c:v>-32695.307887</c:v>
                </c:pt>
                <c:pt idx="5">
                  <c:v>-32858.87218</c:v>
                </c:pt>
                <c:pt idx="6">
                  <c:v>-32751.7704835</c:v>
                </c:pt>
              </c:numCache>
            </c:numRef>
          </c:val>
        </c:ser>
        <c:gapWidth val="150"/>
        <c:overlap val="0"/>
        <c:axId val="42137831"/>
        <c:axId val="60190962"/>
      </c:barChart>
      <c:lineChart>
        <c:grouping val="standard"/>
        <c:varyColors val="0"/>
        <c:ser>
          <c:idx val="1"/>
          <c:order val="1"/>
          <c:tx>
            <c:strRef>
              <c:f>"Meta"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Dashboard!$C$38:$I$38</c:f>
              <c:multiLvlStrCache>
                <c:ptCount val="1"/>
                <c:lvl>
                  <c:pt idx="0">
                    <c:v>E6 Alternativo integrado</c:v>
                  </c:pt>
                </c:lvl>
                <c:lvl>
                  <c:pt idx="0">
                    <c:v>E5 Protección social</c:v>
                  </c:pt>
                </c:lvl>
                <c:lvl>
                  <c:pt idx="0">
                    <c:v>E4 Tributaria progresiva</c:v>
                  </c:pt>
                </c:lvl>
                <c:lvl>
                  <c:pt idx="0">
                    <c:v>E3 Banda cambiaria</c:v>
                  </c:pt>
                </c:lvl>
                <c:lvl>
                  <c:pt idx="0">
                    <c:v>E2 Monetaria-crédito</c:v>
                  </c:pt>
                </c:lvl>
                <c:lvl>
                  <c:pt idx="0">
                    <c:v>E1 Fiscal gradual</c:v>
                  </c:pt>
                </c:lvl>
                <c:lvl>
                  <c:pt idx="0">
                    <c:v>Base FMI</c:v>
                  </c:pt>
                </c:lvl>
              </c:multiLvlStrCache>
            </c:multiLvlStrRef>
          </c:cat>
          <c:val>
            <c:numRef>
              <c:f>Dashboard!$C$40:$I$40</c:f>
              <c:numCache>
                <c:formatCode>#,##0;\(#,##0\);\-</c:formatCode>
                <c:ptCount val="7"/>
                <c:pt idx="0">
                  <c:v>-33000</c:v>
                </c:pt>
                <c:pt idx="1">
                  <c:v>-33000</c:v>
                </c:pt>
                <c:pt idx="2">
                  <c:v>-33000</c:v>
                </c:pt>
                <c:pt idx="3">
                  <c:v>-33000</c:v>
                </c:pt>
                <c:pt idx="4">
                  <c:v>-33000</c:v>
                </c:pt>
                <c:pt idx="5">
                  <c:v>-33000</c:v>
                </c:pt>
                <c:pt idx="6">
                  <c:v>-33000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137831"/>
        <c:axId val="60190962"/>
      </c:lineChart>
      <c:catAx>
        <c:axId val="42137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90962"/>
        <c:crosses val="autoZero"/>
        <c:auto val="1"/>
        <c:lblAlgn val="ctr"/>
        <c:lblOffset val="100"/>
        <c:noMultiLvlLbl val="0"/>
      </c:catAx>
      <c:valAx>
        <c:axId val="60190962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378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Variación de RIN 2026 vs meta (US$ 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"ΔRIN 2026"</c:f>
              <c:strCache>
                <c:ptCount val="1"/>
                <c:pt idx="0">
                  <c:v>ΔRIN 2026</c:v>
                </c:pt>
              </c:strCache>
            </c:strRef>
          </c:tx>
          <c:spPr>
            <a:solidFill>
              <a:srgbClr val="00808a"/>
            </a:solidFill>
            <a:ln w="0">
              <a:solidFill>
                <a:srgbClr val="00808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Dashboard!$C$38:$I$38</c:f>
              <c:multiLvlStrCache>
                <c:ptCount val="1"/>
                <c:lvl>
                  <c:pt idx="0">
                    <c:v>E6 Alternativo integrado</c:v>
                  </c:pt>
                </c:lvl>
                <c:lvl>
                  <c:pt idx="0">
                    <c:v>E5 Protección social</c:v>
                  </c:pt>
                </c:lvl>
                <c:lvl>
                  <c:pt idx="0">
                    <c:v>E4 Tributaria progresiva</c:v>
                  </c:pt>
                </c:lvl>
                <c:lvl>
                  <c:pt idx="0">
                    <c:v>E3 Banda cambiaria</c:v>
                  </c:pt>
                </c:lvl>
                <c:lvl>
                  <c:pt idx="0">
                    <c:v>E2 Monetaria-crédito</c:v>
                  </c:pt>
                </c:lvl>
                <c:lvl>
                  <c:pt idx="0">
                    <c:v>E1 Fiscal gradual</c:v>
                  </c:pt>
                </c:lvl>
                <c:lvl>
                  <c:pt idx="0">
                    <c:v>Base FMI</c:v>
                  </c:pt>
                </c:lvl>
              </c:multiLvlStrCache>
            </c:multiLvlStrRef>
          </c:cat>
          <c:val>
            <c:numRef>
              <c:f>Dashboard!$C$41:$I$41</c:f>
              <c:numCache>
                <c:formatCode>#,##0;\(#,##0\);\-</c:formatCode>
                <c:ptCount val="7"/>
                <c:pt idx="0">
                  <c:v>2409</c:v>
                </c:pt>
                <c:pt idx="1">
                  <c:v>2492.60425</c:v>
                </c:pt>
                <c:pt idx="2">
                  <c:v>2403.3786</c:v>
                </c:pt>
                <c:pt idx="3">
                  <c:v>2261.8107</c:v>
                </c:pt>
                <c:pt idx="4">
                  <c:v>2409.65583</c:v>
                </c:pt>
                <c:pt idx="5">
                  <c:v>2407.1262</c:v>
                </c:pt>
                <c:pt idx="6">
                  <c:v>2403.706515</c:v>
                </c:pt>
              </c:numCache>
            </c:numRef>
          </c:val>
        </c:ser>
        <c:gapWidth val="150"/>
        <c:overlap val="0"/>
        <c:axId val="73753559"/>
        <c:axId val="11961274"/>
      </c:barChart>
      <c:lineChart>
        <c:grouping val="standard"/>
        <c:varyColors val="0"/>
        <c:ser>
          <c:idx val="1"/>
          <c:order val="1"/>
          <c:tx>
            <c:strRef>
              <c:f>"Meta"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Dashboard!$C$38:$I$38</c:f>
              <c:multiLvlStrCache>
                <c:ptCount val="1"/>
                <c:lvl>
                  <c:pt idx="0">
                    <c:v>E6 Alternativo integrado</c:v>
                  </c:pt>
                </c:lvl>
                <c:lvl>
                  <c:pt idx="0">
                    <c:v>E5 Protección social</c:v>
                  </c:pt>
                </c:lvl>
                <c:lvl>
                  <c:pt idx="0">
                    <c:v>E4 Tributaria progresiva</c:v>
                  </c:pt>
                </c:lvl>
                <c:lvl>
                  <c:pt idx="0">
                    <c:v>E3 Banda cambiaria</c:v>
                  </c:pt>
                </c:lvl>
                <c:lvl>
                  <c:pt idx="0">
                    <c:v>E2 Monetaria-crédito</c:v>
                  </c:pt>
                </c:lvl>
                <c:lvl>
                  <c:pt idx="0">
                    <c:v>E1 Fiscal gradual</c:v>
                  </c:pt>
                </c:lvl>
                <c:lvl>
                  <c:pt idx="0">
                    <c:v>Base FMI</c:v>
                  </c:pt>
                </c:lvl>
              </c:multiLvlStrCache>
            </c:multiLvlStrRef>
          </c:cat>
          <c:val>
            <c:numRef>
              <c:f>Dashboard!$C$42:$I$42</c:f>
              <c:numCache>
                <c:formatCode>#,##0;\(#,##0\);\-</c:formatCode>
                <c:ptCount val="7"/>
                <c:pt idx="0">
                  <c:v>2400</c:v>
                </c:pt>
                <c:pt idx="1">
                  <c:v>2400</c:v>
                </c:pt>
                <c:pt idx="2">
                  <c:v>2400</c:v>
                </c:pt>
                <c:pt idx="3">
                  <c:v>2400</c:v>
                </c:pt>
                <c:pt idx="4">
                  <c:v>2400</c:v>
                </c:pt>
                <c:pt idx="5">
                  <c:v>2400</c:v>
                </c:pt>
                <c:pt idx="6">
                  <c:v>2400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753559"/>
        <c:axId val="11961274"/>
      </c:lineChart>
      <c:catAx>
        <c:axId val="73753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61274"/>
        <c:crosses val="autoZero"/>
        <c:auto val="1"/>
        <c:lblAlgn val="ctr"/>
        <c:lblOffset val="100"/>
        <c:noMultiLvlLbl val="0"/>
      </c:catAx>
      <c:valAx>
        <c:axId val="11961274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535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Crecimiento acumulado 2026–29 e inflación promedio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"Crec. acumulado"</c:f>
              <c:strCache>
                <c:ptCount val="1"/>
                <c:pt idx="0">
                  <c:v>Crec. acumulado</c:v>
                </c:pt>
              </c:strCache>
            </c:strRef>
          </c:tx>
          <c:spPr>
            <a:solidFill>
              <a:srgbClr val="00808a"/>
            </a:solidFill>
            <a:ln w="0">
              <a:solidFill>
                <a:srgbClr val="00808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Dashboard!$C$38:$I$38</c:f>
              <c:multiLvlStrCache>
                <c:ptCount val="1"/>
                <c:lvl>
                  <c:pt idx="0">
                    <c:v>E6 Alternativo integrado</c:v>
                  </c:pt>
                </c:lvl>
                <c:lvl>
                  <c:pt idx="0">
                    <c:v>E5 Protección social</c:v>
                  </c:pt>
                </c:lvl>
                <c:lvl>
                  <c:pt idx="0">
                    <c:v>E4 Tributaria progresiva</c:v>
                  </c:pt>
                </c:lvl>
                <c:lvl>
                  <c:pt idx="0">
                    <c:v>E3 Banda cambiaria</c:v>
                  </c:pt>
                </c:lvl>
                <c:lvl>
                  <c:pt idx="0">
                    <c:v>E2 Monetaria-crédito</c:v>
                  </c:pt>
                </c:lvl>
                <c:lvl>
                  <c:pt idx="0">
                    <c:v>E1 Fiscal gradual</c:v>
                  </c:pt>
                </c:lvl>
                <c:lvl>
                  <c:pt idx="0">
                    <c:v>Base FMI</c:v>
                  </c:pt>
                </c:lvl>
              </c:multiLvlStrCache>
            </c:multiLvlStrRef>
          </c:cat>
          <c:val>
            <c:numRef>
              <c:f>Dashboard!$C$29:$I$29</c:f>
              <c:numCache>
                <c:formatCode>#,##0.00;\(#,##0.00\);\-</c:formatCode>
                <c:ptCount val="7"/>
                <c:pt idx="0">
                  <c:v>-1.57670687500003</c:v>
                </c:pt>
                <c:pt idx="1">
                  <c:v>0.176294561269019</c:v>
                </c:pt>
                <c:pt idx="2">
                  <c:v>-0.0656713769322415</c:v>
                </c:pt>
                <c:pt idx="3">
                  <c:v>-1.80132020266609</c:v>
                </c:pt>
                <c:pt idx="4">
                  <c:v>-2.20806051566393</c:v>
                </c:pt>
                <c:pt idx="5">
                  <c:v>-1.31675873113841</c:v>
                </c:pt>
                <c:pt idx="6">
                  <c:v>0.0461968770055776</c:v>
                </c:pt>
              </c:numCache>
            </c:numRef>
          </c:val>
        </c:ser>
        <c:ser>
          <c:idx val="1"/>
          <c:order val="1"/>
          <c:tx>
            <c:strRef>
              <c:f>"Inflación prom."</c:f>
              <c:strCache>
                <c:ptCount val="1"/>
                <c:pt idx="0">
                  <c:v>Inflación prom.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Dashboard!$C$38:$I$38</c:f>
              <c:multiLvlStrCache>
                <c:ptCount val="1"/>
                <c:lvl>
                  <c:pt idx="0">
                    <c:v>E6 Alternativo integrado</c:v>
                  </c:pt>
                </c:lvl>
                <c:lvl>
                  <c:pt idx="0">
                    <c:v>E5 Protección social</c:v>
                  </c:pt>
                </c:lvl>
                <c:lvl>
                  <c:pt idx="0">
                    <c:v>E4 Tributaria progresiva</c:v>
                  </c:pt>
                </c:lvl>
                <c:lvl>
                  <c:pt idx="0">
                    <c:v>E3 Banda cambiaria</c:v>
                  </c:pt>
                </c:lvl>
                <c:lvl>
                  <c:pt idx="0">
                    <c:v>E2 Monetaria-crédito</c:v>
                  </c:pt>
                </c:lvl>
                <c:lvl>
                  <c:pt idx="0">
                    <c:v>E1 Fiscal gradual</c:v>
                  </c:pt>
                </c:lvl>
                <c:lvl>
                  <c:pt idx="0">
                    <c:v>Base FMI</c:v>
                  </c:pt>
                </c:lvl>
              </c:multiLvlStrCache>
            </c:multiLvlStrRef>
          </c:cat>
          <c:val>
            <c:numRef>
              <c:f>Dashboard!$C$30:$I$30</c:f>
              <c:numCache>
                <c:formatCode>#,##0.00;\(#,##0.00\);\-</c:formatCode>
                <c:ptCount val="7"/>
                <c:pt idx="0">
                  <c:v>11</c:v>
                </c:pt>
                <c:pt idx="1">
                  <c:v>11.1109375</c:v>
                </c:pt>
                <c:pt idx="2">
                  <c:v>11.676875</c:v>
                </c:pt>
                <c:pt idx="3">
                  <c:v>10.3295553428062</c:v>
                </c:pt>
                <c:pt idx="4">
                  <c:v>11.04178125</c:v>
                </c:pt>
                <c:pt idx="5">
                  <c:v>11.0163940803495</c:v>
                </c:pt>
                <c:pt idx="6">
                  <c:v>11.044515625</c:v>
                </c:pt>
              </c:numCache>
            </c:numRef>
          </c:val>
        </c:ser>
        <c:gapWidth val="150"/>
        <c:overlap val="0"/>
        <c:axId val="84922000"/>
        <c:axId val="81048905"/>
      </c:barChart>
      <c:catAx>
        <c:axId val="8492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048905"/>
        <c:crosses val="autoZero"/>
        <c:auto val="1"/>
        <c:lblAlgn val="ctr"/>
        <c:lblOffset val="100"/>
        <c:noMultiLvlLbl val="0"/>
      </c:catAx>
      <c:valAx>
        <c:axId val="81048905"/>
        <c:scaling>
          <c:orientation val="minMax"/>
        </c:scaling>
        <c:delete val="0"/>
        <c:axPos val="l"/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220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Deuda SPNF 2029 (% PIB)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"Deuda 2029"</c:f>
              <c:strCache>
                <c:ptCount val="1"/>
                <c:pt idx="0">
                  <c:v>Deuda 2029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Dashboard!$C$38:$I$38</c:f>
              <c:multiLvlStrCache>
                <c:ptCount val="1"/>
                <c:lvl>
                  <c:pt idx="0">
                    <c:v>E6 Alternativo integrado</c:v>
                  </c:pt>
                </c:lvl>
                <c:lvl>
                  <c:pt idx="0">
                    <c:v>E5 Protección social</c:v>
                  </c:pt>
                </c:lvl>
                <c:lvl>
                  <c:pt idx="0">
                    <c:v>E4 Tributaria progresiva</c:v>
                  </c:pt>
                </c:lvl>
                <c:lvl>
                  <c:pt idx="0">
                    <c:v>E3 Banda cambiaria</c:v>
                  </c:pt>
                </c:lvl>
                <c:lvl>
                  <c:pt idx="0">
                    <c:v>E2 Monetaria-crédito</c:v>
                  </c:pt>
                </c:lvl>
                <c:lvl>
                  <c:pt idx="0">
                    <c:v>E1 Fiscal gradual</c:v>
                  </c:pt>
                </c:lvl>
                <c:lvl>
                  <c:pt idx="0">
                    <c:v>Base FMI</c:v>
                  </c:pt>
                </c:lvl>
              </c:multiLvlStrCache>
            </c:multiLvlStrRef>
          </c:cat>
          <c:val>
            <c:numRef>
              <c:f>Dashboard!$C$31:$I$31</c:f>
              <c:numCache>
                <c:formatCode>#,##0.00;\(#,##0.00\);\-</c:formatCode>
                <c:ptCount val="7"/>
                <c:pt idx="0">
                  <c:v>89.2033737797485</c:v>
                </c:pt>
                <c:pt idx="1">
                  <c:v>89.2298566055718</c:v>
                </c:pt>
                <c:pt idx="2">
                  <c:v>85.8300445618741</c:v>
                </c:pt>
                <c:pt idx="3">
                  <c:v>88.7994424459288</c:v>
                </c:pt>
                <c:pt idx="4">
                  <c:v>86.1346243059606</c:v>
                </c:pt>
                <c:pt idx="5">
                  <c:v>89.923874302122</c:v>
                </c:pt>
                <c:pt idx="6">
                  <c:v>84.8469226445931</c:v>
                </c:pt>
              </c:numCache>
            </c:numRef>
          </c:val>
        </c:ser>
        <c:gapWidth val="150"/>
        <c:overlap val="0"/>
        <c:axId val="83267881"/>
        <c:axId val="52654253"/>
      </c:barChart>
      <c:catAx>
        <c:axId val="832678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54253"/>
        <c:crosses val="autoZero"/>
        <c:auto val="1"/>
        <c:lblAlgn val="ctr"/>
        <c:lblOffset val="100"/>
        <c:noMultiLvlLbl val="0"/>
      </c:catAx>
      <c:valAx>
        <c:axId val="52654253"/>
        <c:scaling>
          <c:orientation val="minMax"/>
        </c:scaling>
        <c:delete val="0"/>
        <c:axPos val="l"/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678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Δ Pobreza 2029 vs FMI (pp)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"Δ Pobreza"</c:f>
              <c:strCache>
                <c:ptCount val="1"/>
                <c:pt idx="0">
                  <c:v>Δ Pobreza</c:v>
                </c:pt>
              </c:strCache>
            </c:strRef>
          </c:tx>
          <c:spPr>
            <a:solidFill>
              <a:srgbClr val="c55a11"/>
            </a:solidFill>
            <a:ln w="0">
              <a:solidFill>
                <a:srgbClr val="c55a1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Dashboard!$C$38:$I$38</c:f>
              <c:multiLvlStrCache>
                <c:ptCount val="1"/>
                <c:lvl>
                  <c:pt idx="0">
                    <c:v>E6 Alternativo integrado</c:v>
                  </c:pt>
                </c:lvl>
                <c:lvl>
                  <c:pt idx="0">
                    <c:v>E5 Protección social</c:v>
                  </c:pt>
                </c:lvl>
                <c:lvl>
                  <c:pt idx="0">
                    <c:v>E4 Tributaria progresiva</c:v>
                  </c:pt>
                </c:lvl>
                <c:lvl>
                  <c:pt idx="0">
                    <c:v>E3 Banda cambiaria</c:v>
                  </c:pt>
                </c:lvl>
                <c:lvl>
                  <c:pt idx="0">
                    <c:v>E2 Monetaria-crédito</c:v>
                  </c:pt>
                </c:lvl>
                <c:lvl>
                  <c:pt idx="0">
                    <c:v>E1 Fiscal gradual</c:v>
                  </c:pt>
                </c:lvl>
                <c:lvl>
                  <c:pt idx="0">
                    <c:v>Base FMI</c:v>
                  </c:pt>
                </c:lvl>
              </c:multiLvlStrCache>
            </c:multiLvlStrRef>
          </c:cat>
          <c:val>
            <c:numRef>
              <c:f>Dashboard!$C$33:$I$33</c:f>
              <c:numCache>
                <c:formatCode>#,##0.00;\(#,##0.00\);\-</c:formatCode>
                <c:ptCount val="7"/>
                <c:pt idx="0">
                  <c:v>0</c:v>
                </c:pt>
                <c:pt idx="1">
                  <c:v>-1.22215625</c:v>
                </c:pt>
                <c:pt idx="2">
                  <c:v>-0.99825</c:v>
                </c:pt>
                <c:pt idx="3">
                  <c:v>0.105355160570144</c:v>
                </c:pt>
                <c:pt idx="4">
                  <c:v>0.46481875</c:v>
                </c:pt>
                <c:pt idx="5">
                  <c:v>-0.528693475140453</c:v>
                </c:pt>
                <c:pt idx="6">
                  <c:v>-1.4440875</c:v>
                </c:pt>
              </c:numCache>
            </c:numRef>
          </c:val>
        </c:ser>
        <c:gapWidth val="150"/>
        <c:overlap val="0"/>
        <c:axId val="60450336"/>
        <c:axId val="47292833"/>
      </c:barChart>
      <c:catAx>
        <c:axId val="6045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92833"/>
        <c:crosses val="autoZero"/>
        <c:auto val="1"/>
        <c:lblAlgn val="ctr"/>
        <c:lblOffset val="100"/>
        <c:noMultiLvlLbl val="0"/>
      </c:catAx>
      <c:valAx>
        <c:axId val="47292833"/>
        <c:scaling>
          <c:orientation val="minMax"/>
        </c:scaling>
        <c:delete val="0"/>
        <c:axPos val="l"/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503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44</xdr:row>
      <xdr:rowOff>178920</xdr:rowOff>
    </xdr:from>
    <xdr:to>
      <xdr:col>5</xdr:col>
      <xdr:colOff>11520</xdr:colOff>
      <xdr:row>58</xdr:row>
      <xdr:rowOff>103680</xdr:rowOff>
    </xdr:to>
    <xdr:graphicFrame>
      <xdr:nvGraphicFramePr>
        <xdr:cNvPr id="0" name="Chart 1"/>
        <xdr:cNvGraphicFramePr/>
      </xdr:nvGraphicFramePr>
      <xdr:xfrm>
        <a:off x="141120" y="921060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44</xdr:row>
      <xdr:rowOff>178920</xdr:rowOff>
    </xdr:from>
    <xdr:to>
      <xdr:col>10</xdr:col>
      <xdr:colOff>293040</xdr:colOff>
      <xdr:row>58</xdr:row>
      <xdr:rowOff>103680</xdr:rowOff>
    </xdr:to>
    <xdr:graphicFrame>
      <xdr:nvGraphicFramePr>
        <xdr:cNvPr id="1" name="Chart 2"/>
        <xdr:cNvGraphicFramePr/>
      </xdr:nvGraphicFramePr>
      <xdr:xfrm>
        <a:off x="5709240" y="921060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44</xdr:row>
      <xdr:rowOff>178920</xdr:rowOff>
    </xdr:from>
    <xdr:to>
      <xdr:col>16</xdr:col>
      <xdr:colOff>82080</xdr:colOff>
      <xdr:row>58</xdr:row>
      <xdr:rowOff>103680</xdr:rowOff>
    </xdr:to>
    <xdr:graphicFrame>
      <xdr:nvGraphicFramePr>
        <xdr:cNvPr id="2" name="Chart 3"/>
        <xdr:cNvGraphicFramePr/>
      </xdr:nvGraphicFramePr>
      <xdr:xfrm>
        <a:off x="10995840" y="921060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59</xdr:row>
      <xdr:rowOff>179280</xdr:rowOff>
    </xdr:from>
    <xdr:to>
      <xdr:col>5</xdr:col>
      <xdr:colOff>11520</xdr:colOff>
      <xdr:row>73</xdr:row>
      <xdr:rowOff>103680</xdr:rowOff>
    </xdr:to>
    <xdr:graphicFrame>
      <xdr:nvGraphicFramePr>
        <xdr:cNvPr id="3" name="Chart 4"/>
        <xdr:cNvGraphicFramePr/>
      </xdr:nvGraphicFramePr>
      <xdr:xfrm>
        <a:off x="141120" y="1206828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59</xdr:row>
      <xdr:rowOff>179280</xdr:rowOff>
    </xdr:from>
    <xdr:to>
      <xdr:col>10</xdr:col>
      <xdr:colOff>293040</xdr:colOff>
      <xdr:row>73</xdr:row>
      <xdr:rowOff>103680</xdr:rowOff>
    </xdr:to>
    <xdr:graphicFrame>
      <xdr:nvGraphicFramePr>
        <xdr:cNvPr id="4" name="Chart 5"/>
        <xdr:cNvGraphicFramePr/>
      </xdr:nvGraphicFramePr>
      <xdr:xfrm>
        <a:off x="5709240" y="1206828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59</xdr:row>
      <xdr:rowOff>179280</xdr:rowOff>
    </xdr:from>
    <xdr:to>
      <xdr:col>16</xdr:col>
      <xdr:colOff>82080</xdr:colOff>
      <xdr:row>73</xdr:row>
      <xdr:rowOff>103680</xdr:rowOff>
    </xdr:to>
    <xdr:graphicFrame>
      <xdr:nvGraphicFramePr>
        <xdr:cNvPr id="5" name="Chart 6"/>
        <xdr:cNvGraphicFramePr/>
      </xdr:nvGraphicFramePr>
      <xdr:xfrm>
        <a:off x="10995840" y="1206828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75</xdr:row>
      <xdr:rowOff>178920</xdr:rowOff>
    </xdr:from>
    <xdr:to>
      <xdr:col>5</xdr:col>
      <xdr:colOff>11520</xdr:colOff>
      <xdr:row>89</xdr:row>
      <xdr:rowOff>103680</xdr:rowOff>
    </xdr:to>
    <xdr:graphicFrame>
      <xdr:nvGraphicFramePr>
        <xdr:cNvPr id="6" name="Chart 7"/>
        <xdr:cNvGraphicFramePr/>
      </xdr:nvGraphicFramePr>
      <xdr:xfrm>
        <a:off x="141120" y="1511604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5</xdr:col>
      <xdr:colOff>0</xdr:colOff>
      <xdr:row>75</xdr:row>
      <xdr:rowOff>178920</xdr:rowOff>
    </xdr:from>
    <xdr:to>
      <xdr:col>10</xdr:col>
      <xdr:colOff>293040</xdr:colOff>
      <xdr:row>89</xdr:row>
      <xdr:rowOff>103680</xdr:rowOff>
    </xdr:to>
    <xdr:graphicFrame>
      <xdr:nvGraphicFramePr>
        <xdr:cNvPr id="7" name="Chart 8"/>
        <xdr:cNvGraphicFramePr/>
      </xdr:nvGraphicFramePr>
      <xdr:xfrm>
        <a:off x="5709240" y="1511604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0</xdr:colOff>
      <xdr:row>75</xdr:row>
      <xdr:rowOff>178920</xdr:rowOff>
    </xdr:from>
    <xdr:to>
      <xdr:col>16</xdr:col>
      <xdr:colOff>82080</xdr:colOff>
      <xdr:row>89</xdr:row>
      <xdr:rowOff>103680</xdr:rowOff>
    </xdr:to>
    <xdr:graphicFrame>
      <xdr:nvGraphicFramePr>
        <xdr:cNvPr id="8" name="Chart 9"/>
        <xdr:cNvGraphicFramePr/>
      </xdr:nvGraphicFramePr>
      <xdr:xfrm>
        <a:off x="10995840" y="1511604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90</xdr:row>
      <xdr:rowOff>179280</xdr:rowOff>
    </xdr:from>
    <xdr:to>
      <xdr:col>5</xdr:col>
      <xdr:colOff>11520</xdr:colOff>
      <xdr:row>104</xdr:row>
      <xdr:rowOff>103680</xdr:rowOff>
    </xdr:to>
    <xdr:graphicFrame>
      <xdr:nvGraphicFramePr>
        <xdr:cNvPr id="9" name="Chart 10"/>
        <xdr:cNvGraphicFramePr/>
      </xdr:nvGraphicFramePr>
      <xdr:xfrm>
        <a:off x="141120" y="1797372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5</xdr:col>
      <xdr:colOff>0</xdr:colOff>
      <xdr:row>90</xdr:row>
      <xdr:rowOff>179280</xdr:rowOff>
    </xdr:from>
    <xdr:to>
      <xdr:col>10</xdr:col>
      <xdr:colOff>293040</xdr:colOff>
      <xdr:row>104</xdr:row>
      <xdr:rowOff>103680</xdr:rowOff>
    </xdr:to>
    <xdr:graphicFrame>
      <xdr:nvGraphicFramePr>
        <xdr:cNvPr id="10" name="Chart 11"/>
        <xdr:cNvGraphicFramePr/>
      </xdr:nvGraphicFramePr>
      <xdr:xfrm>
        <a:off x="5709240" y="1797372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10</xdr:col>
      <xdr:colOff>0</xdr:colOff>
      <xdr:row>90</xdr:row>
      <xdr:rowOff>179280</xdr:rowOff>
    </xdr:from>
    <xdr:to>
      <xdr:col>16</xdr:col>
      <xdr:colOff>82080</xdr:colOff>
      <xdr:row>104</xdr:row>
      <xdr:rowOff>103680</xdr:rowOff>
    </xdr:to>
    <xdr:graphicFrame>
      <xdr:nvGraphicFramePr>
        <xdr:cNvPr id="11" name="Chart 12"/>
        <xdr:cNvGraphicFramePr/>
      </xdr:nvGraphicFramePr>
      <xdr:xfrm>
        <a:off x="10995840" y="1797372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5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5.75" hidden="false" customHeight="true" outlineLevel="0" collapsed="false">
      <c r="B5" s="3" t="s">
        <v>2</v>
      </c>
      <c r="C5" s="4" t="s">
        <v>3</v>
      </c>
    </row>
    <row r="6" customFormat="false" ht="45.75" hidden="false" customHeight="true" outlineLevel="0" collapsed="false">
      <c r="B6" s="3" t="s">
        <v>4</v>
      </c>
      <c r="C6" s="4" t="s">
        <v>5</v>
      </c>
    </row>
    <row r="7" customFormat="false" ht="45.75" hidden="false" customHeight="true" outlineLevel="0" collapsed="false">
      <c r="B7" s="3" t="s">
        <v>6</v>
      </c>
      <c r="C7" s="4" t="s">
        <v>7</v>
      </c>
    </row>
    <row r="8" customFormat="false" ht="45.75" hidden="false" customHeight="true" outlineLevel="0" collapsed="false">
      <c r="B8" s="3" t="s">
        <v>8</v>
      </c>
      <c r="C8" s="4" t="s">
        <v>9</v>
      </c>
    </row>
    <row r="9" customFormat="false" ht="45.75" hidden="false" customHeight="true" outlineLevel="0" collapsed="false">
      <c r="B9" s="3" t="s">
        <v>10</v>
      </c>
      <c r="C9" s="4" t="s">
        <v>11</v>
      </c>
    </row>
    <row r="10" customFormat="false" ht="45.75" hidden="false" customHeight="true" outlineLevel="0" collapsed="false">
      <c r="B10" s="3" t="s">
        <v>12</v>
      </c>
      <c r="C10" s="4" t="s">
        <v>13</v>
      </c>
    </row>
    <row r="11" customFormat="false" ht="45.75" hidden="false" customHeight="true" outlineLevel="0" collapsed="false">
      <c r="B11" s="3" t="s">
        <v>14</v>
      </c>
      <c r="C11" s="4" t="s">
        <v>15</v>
      </c>
    </row>
    <row r="12" customFormat="false" ht="45.75" hidden="false" customHeight="true" outlineLevel="0" collapsed="false">
      <c r="B12" s="3" t="s">
        <v>16</v>
      </c>
      <c r="C12" s="4" t="s">
        <v>17</v>
      </c>
    </row>
    <row r="14" customFormat="false" ht="15" hidden="false" customHeight="false" outlineLevel="0" collapsed="false">
      <c r="B14" s="5" t="s">
        <v>18</v>
      </c>
    </row>
    <row r="15" customFormat="false" ht="15" hidden="false" customHeight="false" outlineLevel="0" collapsed="false">
      <c r="B15" s="6" t="s">
        <v>19</v>
      </c>
      <c r="C15" s="4" t="s">
        <v>20</v>
      </c>
    </row>
    <row r="16" customFormat="false" ht="15" hidden="false" customHeight="false" outlineLevel="0" collapsed="false">
      <c r="B16" s="6" t="s">
        <v>21</v>
      </c>
      <c r="C16" s="4" t="s">
        <v>22</v>
      </c>
    </row>
    <row r="17" customFormat="false" ht="15" hidden="false" customHeight="false" outlineLevel="0" collapsed="false">
      <c r="B17" s="6" t="s">
        <v>23</v>
      </c>
      <c r="C17" s="4" t="s">
        <v>24</v>
      </c>
    </row>
    <row r="18" customFormat="false" ht="15" hidden="false" customHeight="false" outlineLevel="0" collapsed="false">
      <c r="B18" s="6" t="s">
        <v>25</v>
      </c>
      <c r="C18" s="4" t="s">
        <v>26</v>
      </c>
    </row>
    <row r="19" customFormat="false" ht="15" hidden="false" customHeight="false" outlineLevel="0" collapsed="false">
      <c r="B19" s="6" t="s">
        <v>27</v>
      </c>
      <c r="C19" s="4" t="s">
        <v>28</v>
      </c>
    </row>
    <row r="20" customFormat="false" ht="15" hidden="false" customHeight="false" outlineLevel="0" collapsed="false">
      <c r="B20" s="6" t="s">
        <v>29</v>
      </c>
      <c r="C20" s="4" t="s">
        <v>30</v>
      </c>
    </row>
    <row r="21" customFormat="false" ht="15" hidden="false" customHeight="false" outlineLevel="0" collapsed="false">
      <c r="B21" s="6" t="s">
        <v>31</v>
      </c>
      <c r="C21" s="4" t="s">
        <v>32</v>
      </c>
    </row>
    <row r="22" customFormat="false" ht="15" hidden="false" customHeight="false" outlineLevel="0" collapsed="false">
      <c r="B22" s="6" t="s">
        <v>33</v>
      </c>
      <c r="C22" s="4" t="s">
        <v>34</v>
      </c>
    </row>
    <row r="23" customFormat="false" ht="15" hidden="false" customHeight="false" outlineLevel="0" collapsed="false">
      <c r="B23" s="6" t="s">
        <v>35</v>
      </c>
      <c r="C23" s="4" t="s">
        <v>36</v>
      </c>
    </row>
    <row r="24" customFormat="false" ht="15" hidden="false" customHeight="false" outlineLevel="0" collapsed="false">
      <c r="B24" s="6" t="s">
        <v>37</v>
      </c>
      <c r="C24" s="4" t="s">
        <v>38</v>
      </c>
    </row>
    <row r="25" customFormat="false" ht="15" hidden="false" customHeight="false" outlineLevel="0" collapsed="false">
      <c r="B25" s="6" t="s">
        <v>39</v>
      </c>
      <c r="C25" s="4" t="s">
        <v>40</v>
      </c>
    </row>
    <row r="26" customFormat="false" ht="15" hidden="false" customHeight="false" outlineLevel="0" collapsed="false">
      <c r="B26" s="6" t="s">
        <v>41</v>
      </c>
      <c r="C26" s="4" t="s">
        <v>42</v>
      </c>
    </row>
    <row r="27" customFormat="false" ht="15" hidden="false" customHeight="false" outlineLevel="0" collapsed="false">
      <c r="B27" s="6" t="s">
        <v>43</v>
      </c>
      <c r="C27" s="4" t="s">
        <v>44</v>
      </c>
    </row>
    <row r="28" customFormat="false" ht="15" hidden="false" customHeight="false" outlineLevel="0" collapsed="false">
      <c r="B28" s="6" t="s">
        <v>45</v>
      </c>
      <c r="C28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8A"/>
    <pageSetUpPr fitToPage="false"/>
  </sheetPr>
  <dimension ref="B2:Q7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3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6" min="10" style="0" width="13"/>
  </cols>
  <sheetData>
    <row r="2" customFormat="false" ht="22.05" hidden="false" customHeight="false" outlineLevel="0" collapsed="false">
      <c r="B2" s="7" t="s">
        <v>47</v>
      </c>
    </row>
    <row r="3" customFormat="false" ht="15" hidden="false" customHeight="false" outlineLevel="0" collapsed="false">
      <c r="B3" s="2" t="s">
        <v>48</v>
      </c>
    </row>
    <row r="5" customFormat="false" ht="15" hidden="false" customHeight="false" outlineLevel="0" collapsed="false">
      <c r="B5" s="8" t="s">
        <v>49</v>
      </c>
      <c r="C5" s="9" t="s">
        <v>50</v>
      </c>
      <c r="D5" s="9"/>
      <c r="E5" s="9"/>
      <c r="G5" s="8" t="s">
        <v>51</v>
      </c>
      <c r="H5" s="8"/>
      <c r="I5" s="8"/>
      <c r="J5" s="8"/>
      <c r="K5" s="8"/>
      <c r="L5" s="8"/>
      <c r="M5" s="8"/>
      <c r="N5" s="8"/>
      <c r="O5" s="8"/>
    </row>
    <row r="6" customFormat="false" ht="21.75" hidden="false" customHeight="true" outlineLevel="0" collapsed="false">
      <c r="B6" s="8" t="s">
        <v>52</v>
      </c>
      <c r="C6" s="9" t="s">
        <v>53</v>
      </c>
      <c r="D6" s="9"/>
      <c r="E6" s="9"/>
      <c r="G6" s="10" t="str">
        <f aca="false">INDEX(Listas!$C$2:$C$8,MATCH(sel_scen,Listas!$B$2:$B$8,0))</f>
        <v>Combinación eficiente: 2026 intacto para cumplir metas; desde 2027 inversión productiva + reforma tributaria progresiva/antievasión + recorte de gasto corriente y reestructuración de EP + crédito productivo neutral en base monetaria + flotación administrada con reglas + red social reforzada.</v>
      </c>
      <c r="H6" s="10"/>
      <c r="I6" s="10"/>
      <c r="J6" s="10"/>
      <c r="K6" s="10"/>
      <c r="L6" s="10"/>
      <c r="M6" s="10"/>
      <c r="N6" s="10"/>
      <c r="O6" s="10"/>
    </row>
    <row r="7" customFormat="false" ht="21.75" hidden="false" customHeight="true" outlineLevel="0" collapsed="false">
      <c r="B7" s="8" t="s">
        <v>54</v>
      </c>
      <c r="C7" s="9" t="n">
        <v>2027</v>
      </c>
      <c r="D7" s="9"/>
      <c r="E7" s="9"/>
      <c r="G7" s="10"/>
      <c r="H7" s="10"/>
      <c r="I7" s="10"/>
      <c r="J7" s="10"/>
      <c r="K7" s="10"/>
      <c r="L7" s="10"/>
      <c r="M7" s="10"/>
      <c r="N7" s="10"/>
      <c r="O7" s="10"/>
    </row>
    <row r="8" customFormat="false" ht="21.75" hidden="false" customHeight="true" outlineLevel="0" collapsed="false">
      <c r="B8" s="8" t="s">
        <v>55</v>
      </c>
      <c r="C8" s="9" t="s">
        <v>56</v>
      </c>
      <c r="D8" s="9"/>
      <c r="E8" s="9"/>
      <c r="G8" s="10"/>
      <c r="H8" s="10"/>
      <c r="I8" s="10"/>
      <c r="J8" s="10"/>
      <c r="K8" s="10"/>
      <c r="L8" s="10"/>
      <c r="M8" s="10"/>
      <c r="N8" s="10"/>
      <c r="O8" s="10"/>
    </row>
    <row r="10" customFormat="false" ht="15" hidden="false" customHeight="true" outlineLevel="0" collapsed="false">
      <c r="B10" s="5" t="s">
        <v>57</v>
      </c>
      <c r="C10" s="11" t="s">
        <v>58</v>
      </c>
      <c r="D10" s="11" t="s">
        <v>59</v>
      </c>
      <c r="E10" s="11" t="s">
        <v>60</v>
      </c>
      <c r="F10" s="11" t="s">
        <v>61</v>
      </c>
      <c r="H10" s="11" t="s">
        <v>62</v>
      </c>
      <c r="I10" s="11"/>
      <c r="J10" s="11" t="s">
        <v>63</v>
      </c>
      <c r="K10" s="11" t="s">
        <v>64</v>
      </c>
      <c r="L10" s="11" t="s">
        <v>65</v>
      </c>
      <c r="M10" s="11" t="s">
        <v>66</v>
      </c>
      <c r="N10" s="12" t="s">
        <v>67</v>
      </c>
      <c r="O10" s="12" t="s">
        <v>68</v>
      </c>
      <c r="P10" s="12" t="s">
        <v>69</v>
      </c>
      <c r="Q10" s="12" t="s">
        <v>70</v>
      </c>
    </row>
    <row r="11" customFormat="false" ht="15" hidden="false" customHeight="false" outlineLevel="0" collapsed="false">
      <c r="B11" s="13" t="str">
        <f aca="false">Seleccionado!B25</f>
        <v>Saldo primario (Bs mn)</v>
      </c>
      <c r="C11" s="14" t="n">
        <f aca="false">Seleccionado!C25</f>
        <v>-32751.7704835</v>
      </c>
      <c r="D11" s="14" t="n">
        <f aca="false">Seleccionado!D25</f>
        <v>-33000</v>
      </c>
      <c r="E11" s="14" t="n">
        <f aca="false">Seleccionado!E25</f>
        <v>248.2295165</v>
      </c>
      <c r="F11" s="15" t="str">
        <f aca="false">Seleccionado!F25</f>
        <v>Cumple</v>
      </c>
      <c r="H11" s="13" t="str">
        <f aca="false">Seleccionado!B7</f>
        <v>Crecimiento PIB real (%)</v>
      </c>
      <c r="I11" s="13"/>
      <c r="J11" s="16" t="n">
        <f aca="false">Seleccionado!C7</f>
        <v>-3</v>
      </c>
      <c r="K11" s="16" t="n">
        <f aca="false">Seleccionado!D7</f>
        <v>-1.5</v>
      </c>
      <c r="L11" s="16" t="n">
        <f aca="false">Seleccionado!E7</f>
        <v>0.5</v>
      </c>
      <c r="M11" s="16" t="n">
        <f aca="false">Seleccionado!F7</f>
        <v>2.5</v>
      </c>
      <c r="N11" s="17" t="n">
        <f aca="false">Seleccionado!G7</f>
        <v>-2.97175</v>
      </c>
      <c r="O11" s="17" t="n">
        <f aca="false">Seleccionado!H7</f>
        <v>-0.808</v>
      </c>
      <c r="P11" s="17" t="n">
        <f aca="false">Seleccionado!I7</f>
        <v>1.059</v>
      </c>
      <c r="Q11" s="17" t="n">
        <f aca="false">Seleccionado!J7</f>
        <v>2.861</v>
      </c>
    </row>
    <row r="12" customFormat="false" ht="15" hidden="false" customHeight="false" outlineLevel="0" collapsed="false">
      <c r="B12" s="13" t="str">
        <f aca="false">Seleccionado!B26</f>
        <v>Variación RIN (US$ mn)</v>
      </c>
      <c r="C12" s="14" t="n">
        <f aca="false">Seleccionado!C26</f>
        <v>2403.706515</v>
      </c>
      <c r="D12" s="14" t="n">
        <f aca="false">Seleccionado!D26</f>
        <v>2400</v>
      </c>
      <c r="E12" s="14" t="n">
        <f aca="false">Seleccionado!E26</f>
        <v>3.70651499999985</v>
      </c>
      <c r="F12" s="15" t="str">
        <f aca="false">Seleccionado!F26</f>
        <v>Cumple</v>
      </c>
      <c r="H12" s="13" t="str">
        <f aca="false">Seleccionado!B8</f>
        <v>Inflación promedio (%)</v>
      </c>
      <c r="I12" s="13"/>
      <c r="J12" s="16" t="n">
        <f aca="false">Seleccionado!C8</f>
        <v>12.7</v>
      </c>
      <c r="K12" s="16" t="n">
        <f aca="false">Seleccionado!D8</f>
        <v>15.8</v>
      </c>
      <c r="L12" s="16" t="n">
        <f aca="false">Seleccionado!E8</f>
        <v>8.2</v>
      </c>
      <c r="M12" s="16" t="n">
        <f aca="false">Seleccionado!F8</f>
        <v>7.3</v>
      </c>
      <c r="N12" s="17" t="n">
        <f aca="false">Seleccionado!G8</f>
        <v>12.7105625</v>
      </c>
      <c r="O12" s="17" t="n">
        <f aca="false">Seleccionado!H8</f>
        <v>15.8265</v>
      </c>
      <c r="P12" s="17" t="n">
        <f aca="false">Seleccionado!I8</f>
        <v>8.31375</v>
      </c>
      <c r="Q12" s="17" t="n">
        <f aca="false">Seleccionado!J8</f>
        <v>7.32725</v>
      </c>
    </row>
    <row r="13" customFormat="false" ht="15" hidden="false" customHeight="false" outlineLevel="0" collapsed="false">
      <c r="B13" s="13" t="str">
        <f aca="false">Seleccionado!B27</f>
        <v>Crédito BCB al sector público (Bs mn)</v>
      </c>
      <c r="C13" s="14" t="n">
        <f aca="false">Seleccionado!C27</f>
        <v>0</v>
      </c>
      <c r="D13" s="14" t="n">
        <f aca="false">Seleccionado!D27</f>
        <v>0</v>
      </c>
      <c r="E13" s="14" t="n">
        <f aca="false">Seleccionado!E27</f>
        <v>0</v>
      </c>
      <c r="F13" s="15" t="str">
        <f aca="false">Seleccionado!F27</f>
        <v>Cumple</v>
      </c>
      <c r="H13" s="13" t="str">
        <f aca="false">Seleccionado!B10</f>
        <v>Saldo primario (% PIB)</v>
      </c>
      <c r="I13" s="13"/>
      <c r="J13" s="16" t="n">
        <f aca="false">Seleccionado!C10</f>
        <v>-6.5</v>
      </c>
      <c r="K13" s="16" t="n">
        <f aca="false">Seleccionado!D10</f>
        <v>-3</v>
      </c>
      <c r="L13" s="16" t="n">
        <f aca="false">Seleccionado!E10</f>
        <v>-0.3</v>
      </c>
      <c r="M13" s="16" t="n">
        <f aca="false">Seleccionado!F10</f>
        <v>0.6</v>
      </c>
      <c r="N13" s="17" t="n">
        <f aca="false">Seleccionado!G10</f>
        <v>-6.47685</v>
      </c>
      <c r="O13" s="17" t="n">
        <f aca="false">Seleccionado!H10</f>
        <v>-2.8866</v>
      </c>
      <c r="P13" s="17" t="n">
        <f aca="false">Seleccionado!I10</f>
        <v>0.4518</v>
      </c>
      <c r="Q13" s="17" t="n">
        <f aca="false">Seleccionado!J10</f>
        <v>1.6622</v>
      </c>
    </row>
    <row r="14" customFormat="false" ht="15" hidden="false" customHeight="false" outlineLevel="0" collapsed="false">
      <c r="B14" s="13" t="str">
        <f aca="false">Seleccionado!B28</f>
        <v>Asistencia social (Bs mn)</v>
      </c>
      <c r="C14" s="14" t="n">
        <f aca="false">Seleccionado!C28</f>
        <v>10890</v>
      </c>
      <c r="D14" s="14" t="n">
        <f aca="false">Seleccionado!D28</f>
        <v>9300</v>
      </c>
      <c r="E14" s="14" t="n">
        <f aca="false">Seleccionado!E28</f>
        <v>1590</v>
      </c>
      <c r="F14" s="15" t="str">
        <f aca="false">Seleccionado!F28</f>
        <v>Cumple</v>
      </c>
      <c r="H14" s="13" t="str">
        <f aca="false">Seleccionado!B13</f>
        <v>Deuda SPNF (% PIB)</v>
      </c>
      <c r="I14" s="13"/>
      <c r="J14" s="16" t="n">
        <f aca="false">Seleccionado!C13</f>
        <v>100.477694113837</v>
      </c>
      <c r="K14" s="16" t="n">
        <f aca="false">Seleccionado!D13</f>
        <v>95.3612231734795</v>
      </c>
      <c r="L14" s="16" t="n">
        <f aca="false">Seleccionado!E13</f>
        <v>93.1855293042389</v>
      </c>
      <c r="M14" s="16" t="n">
        <f aca="false">Seleccionado!F13</f>
        <v>89.2033737797485</v>
      </c>
      <c r="N14" s="17" t="n">
        <f aca="false">Seleccionado!G13</f>
        <v>100.415567325462</v>
      </c>
      <c r="O14" s="17" t="n">
        <f aca="false">Seleccionado!H13</f>
        <v>94.2146383021112</v>
      </c>
      <c r="P14" s="17" t="n">
        <f aca="false">Seleccionado!I13</f>
        <v>90.3144338918579</v>
      </c>
      <c r="Q14" s="17" t="n">
        <f aca="false">Seleccionado!J13</f>
        <v>84.8469226445931</v>
      </c>
    </row>
    <row r="15" customFormat="false" ht="15" hidden="false" customHeight="false" outlineLevel="0" collapsed="false">
      <c r="B15" s="13" t="str">
        <f aca="false">Seleccionado!B29</f>
        <v>Base monetaria (Bs mn)</v>
      </c>
      <c r="C15" s="14" t="n">
        <f aca="false">Seleccionado!C29</f>
        <v>133900</v>
      </c>
      <c r="D15" s="14" t="n">
        <f aca="false">Seleccionado!D29</f>
        <v>133900</v>
      </c>
      <c r="E15" s="14" t="n">
        <f aca="false">Seleccionado!E29</f>
        <v>0</v>
      </c>
      <c r="F15" s="15" t="str">
        <f aca="false">Seleccionado!F29</f>
        <v>Cumple</v>
      </c>
      <c r="H15" s="13" t="str">
        <f aca="false">Seleccionado!B14</f>
        <v>RIN del programa (US$ mn)</v>
      </c>
      <c r="I15" s="13"/>
      <c r="J15" s="14" t="n">
        <f aca="false">Seleccionado!C14</f>
        <v>-581</v>
      </c>
      <c r="K15" s="14" t="n">
        <f aca="false">Seleccionado!D14</f>
        <v>744</v>
      </c>
      <c r="L15" s="14" t="n">
        <f aca="false">Seleccionado!E14</f>
        <v>1304</v>
      </c>
      <c r="M15" s="14" t="n">
        <f aca="false">Seleccionado!F14</f>
        <v>1878</v>
      </c>
      <c r="N15" s="18" t="n">
        <f aca="false">Seleccionado!G14</f>
        <v>-586.293485</v>
      </c>
      <c r="O15" s="18" t="n">
        <f aca="false">Seleccionado!H14</f>
        <v>703.749120531915</v>
      </c>
      <c r="P15" s="18" t="n">
        <f aca="false">Seleccionado!I14</f>
        <v>1302.88265053192</v>
      </c>
      <c r="Q15" s="18" t="n">
        <f aca="false">Seleccionado!J14</f>
        <v>1800.85605053192</v>
      </c>
    </row>
    <row r="16" customFormat="false" ht="15" hidden="false" customHeight="false" outlineLevel="0" collapsed="false">
      <c r="B16" s="8" t="s">
        <v>71</v>
      </c>
      <c r="C16" s="19" t="str">
        <f aca="false">COUNTIF(F11:F15,"Cumple")&amp;" de 5"</f>
        <v>5 de 5</v>
      </c>
      <c r="H16" s="13" t="str">
        <f aca="false">Seleccionado!B16</f>
        <v>Crédito privado (variación %)</v>
      </c>
      <c r="I16" s="13"/>
      <c r="J16" s="16" t="n">
        <f aca="false">Seleccionado!C16</f>
        <v>4</v>
      </c>
      <c r="K16" s="16" t="n">
        <f aca="false">Seleccionado!D16</f>
        <v>7.3</v>
      </c>
      <c r="L16" s="16" t="n">
        <f aca="false">Seleccionado!E16</f>
        <v>7.3</v>
      </c>
      <c r="M16" s="16" t="n">
        <f aca="false">Seleccionado!F16</f>
        <v>9.5</v>
      </c>
      <c r="N16" s="17" t="n">
        <f aca="false">Seleccionado!G16</f>
        <v>4.25</v>
      </c>
      <c r="O16" s="17" t="n">
        <f aca="false">Seleccionado!H16</f>
        <v>10.55</v>
      </c>
      <c r="P16" s="17" t="n">
        <f aca="false">Seleccionado!I16</f>
        <v>10.3</v>
      </c>
      <c r="Q16" s="17" t="n">
        <f aca="false">Seleccionado!J16</f>
        <v>11.5</v>
      </c>
    </row>
    <row r="17" customFormat="false" ht="15" hidden="false" customHeight="false" outlineLevel="0" collapsed="false">
      <c r="H17" s="13" t="str">
        <f aca="false">Seleccionado!B19</f>
        <v>Asistencia social (Bs mn)</v>
      </c>
      <c r="I17" s="13"/>
      <c r="J17" s="14" t="n">
        <f aca="false">Seleccionado!C19</f>
        <v>10890</v>
      </c>
      <c r="K17" s="14" t="n">
        <f aca="false">Seleccionado!D19</f>
        <v>12722.578</v>
      </c>
      <c r="L17" s="14" t="n">
        <f aca="false">Seleccionado!E19</f>
        <v>8064.823</v>
      </c>
      <c r="M17" s="14" t="n">
        <f aca="false">Seleccionado!F19</f>
        <v>8813.142</v>
      </c>
      <c r="N17" s="18" t="n">
        <f aca="false">Seleccionado!G19</f>
        <v>10890</v>
      </c>
      <c r="O17" s="18" t="n">
        <f aca="false">Seleccionado!H19</f>
        <v>14168.3255</v>
      </c>
      <c r="P17" s="18" t="n">
        <f aca="false">Seleccionado!I19</f>
        <v>9305.565</v>
      </c>
      <c r="Q17" s="18" t="n">
        <f aca="false">Seleccionado!J19</f>
        <v>9830.043</v>
      </c>
    </row>
    <row r="18" customFormat="false" ht="15" hidden="false" customHeight="false" outlineLevel="0" collapsed="false">
      <c r="H18" s="13" t="str">
        <f aca="false">Seleccionado!B20</f>
        <v>Δ Empleo vs FMI (miles)</v>
      </c>
      <c r="I18" s="13"/>
      <c r="J18" s="14" t="n">
        <f aca="false">Seleccionado!C20</f>
        <v>0</v>
      </c>
      <c r="K18" s="14" t="n">
        <f aca="false">Seleccionado!D20</f>
        <v>0</v>
      </c>
      <c r="L18" s="14" t="n">
        <f aca="false">Seleccionado!E20</f>
        <v>0</v>
      </c>
      <c r="M18" s="14" t="n">
        <f aca="false">Seleccionado!F20</f>
        <v>0</v>
      </c>
      <c r="N18" s="18" t="n">
        <f aca="false">Seleccionado!G20</f>
        <v>0.904</v>
      </c>
      <c r="O18" s="18" t="n">
        <f aca="false">Seleccionado!H20</f>
        <v>23.048</v>
      </c>
      <c r="P18" s="18" t="n">
        <f aca="false">Seleccionado!I20</f>
        <v>40.936</v>
      </c>
      <c r="Q18" s="18" t="n">
        <f aca="false">Seleccionado!J20</f>
        <v>52.488</v>
      </c>
    </row>
    <row r="19" customFormat="false" ht="15" hidden="false" customHeight="false" outlineLevel="0" collapsed="false">
      <c r="H19" s="13" t="str">
        <f aca="false">Seleccionado!B21</f>
        <v>Δ Pobreza vs FMI (pp)</v>
      </c>
      <c r="I19" s="13"/>
      <c r="J19" s="16" t="n">
        <f aca="false">Seleccionado!C21</f>
        <v>0</v>
      </c>
      <c r="K19" s="16" t="n">
        <f aca="false">Seleccionado!D21</f>
        <v>0</v>
      </c>
      <c r="L19" s="16" t="n">
        <f aca="false">Seleccionado!E21</f>
        <v>0</v>
      </c>
      <c r="M19" s="16" t="n">
        <f aca="false">Seleccionado!F21</f>
        <v>0</v>
      </c>
      <c r="N19" s="17" t="n">
        <f aca="false">Seleccionado!G21</f>
        <v>-0.018190625</v>
      </c>
      <c r="O19" s="17" t="n">
        <f aca="false">Seleccionado!H21</f>
        <v>-1.0602</v>
      </c>
      <c r="P19" s="17" t="n">
        <f aca="false">Seleccionado!I21</f>
        <v>-1.2784125</v>
      </c>
      <c r="Q19" s="17" t="n">
        <f aca="false">Seleccionado!J21</f>
        <v>-1.4440875</v>
      </c>
    </row>
    <row r="22" customFormat="false" ht="30" hidden="false" customHeight="true" outlineLevel="0" collapsed="false">
      <c r="B22" s="5" t="s">
        <v>72</v>
      </c>
      <c r="C22" s="11" t="s">
        <v>73</v>
      </c>
      <c r="D22" s="11" t="s">
        <v>74</v>
      </c>
      <c r="E22" s="11" t="s">
        <v>75</v>
      </c>
      <c r="F22" s="11" t="s">
        <v>76</v>
      </c>
      <c r="G22" s="11" t="s">
        <v>77</v>
      </c>
      <c r="H22" s="11" t="s">
        <v>78</v>
      </c>
      <c r="I22" s="11" t="s">
        <v>50</v>
      </c>
    </row>
    <row r="23" customFormat="false" ht="15" hidden="false" customHeight="false" outlineLevel="0" collapsed="false">
      <c r="B23" s="6" t="s">
        <v>79</v>
      </c>
      <c r="C23" s="20" t="n">
        <f aca="false">Evaluacion!C16</f>
        <v>5</v>
      </c>
      <c r="D23" s="20" t="n">
        <f aca="false">Evaluacion!D16</f>
        <v>4</v>
      </c>
      <c r="E23" s="20" t="n">
        <f aca="false">Evaluacion!E16</f>
        <v>5</v>
      </c>
      <c r="F23" s="20" t="n">
        <f aca="false">Evaluacion!F16</f>
        <v>4</v>
      </c>
      <c r="G23" s="20" t="n">
        <f aca="false">Evaluacion!G16</f>
        <v>5</v>
      </c>
      <c r="H23" s="20" t="n">
        <f aca="false">Evaluacion!H16</f>
        <v>5</v>
      </c>
      <c r="I23" s="20" t="n">
        <f aca="false">Evaluacion!I16</f>
        <v>5</v>
      </c>
    </row>
    <row r="24" customFormat="false" ht="15" hidden="false" customHeight="false" outlineLevel="0" collapsed="false">
      <c r="B24" s="21" t="s">
        <v>80</v>
      </c>
      <c r="C24" s="22" t="str">
        <f aca="false">Evaluacion!C11</f>
        <v>Cumple</v>
      </c>
      <c r="D24" s="22" t="str">
        <f aca="false">Evaluacion!D11</f>
        <v>No cumple</v>
      </c>
      <c r="E24" s="22" t="str">
        <f aca="false">Evaluacion!E11</f>
        <v>Cumple</v>
      </c>
      <c r="F24" s="22" t="str">
        <f aca="false">Evaluacion!F11</f>
        <v>Cumple</v>
      </c>
      <c r="G24" s="22" t="str">
        <f aca="false">Evaluacion!G11</f>
        <v>Cumple</v>
      </c>
      <c r="H24" s="22" t="str">
        <f aca="false">Evaluacion!H11</f>
        <v>Cumple</v>
      </c>
      <c r="I24" s="22" t="str">
        <f aca="false">Evaluacion!I11</f>
        <v>Cumple</v>
      </c>
    </row>
    <row r="25" customFormat="false" ht="15" hidden="false" customHeight="false" outlineLevel="0" collapsed="false">
      <c r="B25" s="21" t="s">
        <v>81</v>
      </c>
      <c r="C25" s="22" t="str">
        <f aca="false">Evaluacion!C12</f>
        <v>Cumple</v>
      </c>
      <c r="D25" s="22" t="str">
        <f aca="false">Evaluacion!D12</f>
        <v>Cumple</v>
      </c>
      <c r="E25" s="22" t="str">
        <f aca="false">Evaluacion!E12</f>
        <v>Cumple</v>
      </c>
      <c r="F25" s="22" t="str">
        <f aca="false">Evaluacion!F12</f>
        <v>No cumple</v>
      </c>
      <c r="G25" s="22" t="str">
        <f aca="false">Evaluacion!G12</f>
        <v>Cumple</v>
      </c>
      <c r="H25" s="22" t="str">
        <f aca="false">Evaluacion!H12</f>
        <v>Cumple</v>
      </c>
      <c r="I25" s="22" t="str">
        <f aca="false">Evaluacion!I12</f>
        <v>Cumple</v>
      </c>
    </row>
    <row r="26" customFormat="false" ht="15" hidden="false" customHeight="false" outlineLevel="0" collapsed="false">
      <c r="B26" s="21" t="s">
        <v>82</v>
      </c>
      <c r="C26" s="22" t="str">
        <f aca="false">Evaluacion!C13</f>
        <v>Cumple</v>
      </c>
      <c r="D26" s="22" t="str">
        <f aca="false">Evaluacion!D13</f>
        <v>Cumple</v>
      </c>
      <c r="E26" s="22" t="str">
        <f aca="false">Evaluacion!E13</f>
        <v>Cumple</v>
      </c>
      <c r="F26" s="22" t="str">
        <f aca="false">Evaluacion!F13</f>
        <v>Cumple</v>
      </c>
      <c r="G26" s="22" t="str">
        <f aca="false">Evaluacion!G13</f>
        <v>Cumple</v>
      </c>
      <c r="H26" s="22" t="str">
        <f aca="false">Evaluacion!H13</f>
        <v>Cumple</v>
      </c>
      <c r="I26" s="22" t="str">
        <f aca="false">Evaluacion!I13</f>
        <v>Cumple</v>
      </c>
    </row>
    <row r="27" customFormat="false" ht="15" hidden="false" customHeight="false" outlineLevel="0" collapsed="false">
      <c r="B27" s="21" t="s">
        <v>83</v>
      </c>
      <c r="C27" s="22" t="str">
        <f aca="false">Evaluacion!C14</f>
        <v>Cumple</v>
      </c>
      <c r="D27" s="22" t="str">
        <f aca="false">Evaluacion!D14</f>
        <v>Cumple</v>
      </c>
      <c r="E27" s="22" t="str">
        <f aca="false">Evaluacion!E14</f>
        <v>Cumple</v>
      </c>
      <c r="F27" s="22" t="str">
        <f aca="false">Evaluacion!F14</f>
        <v>Cumple</v>
      </c>
      <c r="G27" s="22" t="str">
        <f aca="false">Evaluacion!G14</f>
        <v>Cumple</v>
      </c>
      <c r="H27" s="22" t="str">
        <f aca="false">Evaluacion!H14</f>
        <v>Cumple</v>
      </c>
      <c r="I27" s="22" t="str">
        <f aca="false">Evaluacion!I14</f>
        <v>Cumple</v>
      </c>
    </row>
    <row r="28" customFormat="false" ht="15" hidden="false" customHeight="false" outlineLevel="0" collapsed="false">
      <c r="B28" s="21" t="s">
        <v>84</v>
      </c>
      <c r="C28" s="22" t="str">
        <f aca="false">Evaluacion!C15</f>
        <v>Cumple</v>
      </c>
      <c r="D28" s="22" t="str">
        <f aca="false">Evaluacion!D15</f>
        <v>Cumple</v>
      </c>
      <c r="E28" s="22" t="str">
        <f aca="false">Evaluacion!E15</f>
        <v>Cumple</v>
      </c>
      <c r="F28" s="22" t="str">
        <f aca="false">Evaluacion!F15</f>
        <v>Cumple</v>
      </c>
      <c r="G28" s="22" t="str">
        <f aca="false">Evaluacion!G15</f>
        <v>Cumple</v>
      </c>
      <c r="H28" s="22" t="str">
        <f aca="false">Evaluacion!H15</f>
        <v>Cumple</v>
      </c>
      <c r="I28" s="22" t="str">
        <f aca="false">Evaluacion!I15</f>
        <v>Cumple</v>
      </c>
    </row>
    <row r="29" customFormat="false" ht="15" hidden="false" customHeight="false" outlineLevel="0" collapsed="false">
      <c r="B29" s="21" t="s">
        <v>85</v>
      </c>
      <c r="C29" s="23" t="n">
        <f aca="false">Evaluacion!C18</f>
        <v>-1.57670687500003</v>
      </c>
      <c r="D29" s="23" t="n">
        <f aca="false">Evaluacion!D18</f>
        <v>0.176294561269019</v>
      </c>
      <c r="E29" s="23" t="n">
        <f aca="false">Evaluacion!E18</f>
        <v>-0.0656713769322415</v>
      </c>
      <c r="F29" s="23" t="n">
        <f aca="false">Evaluacion!F18</f>
        <v>-1.80132020266609</v>
      </c>
      <c r="G29" s="23" t="n">
        <f aca="false">Evaluacion!G18</f>
        <v>-2.20806051566393</v>
      </c>
      <c r="H29" s="23" t="n">
        <f aca="false">Evaluacion!H18</f>
        <v>-1.31675873113841</v>
      </c>
      <c r="I29" s="23" t="n">
        <f aca="false">Evaluacion!I18</f>
        <v>0.0461968770055776</v>
      </c>
    </row>
    <row r="30" customFormat="false" ht="15" hidden="false" customHeight="false" outlineLevel="0" collapsed="false">
      <c r="B30" s="21" t="s">
        <v>86</v>
      </c>
      <c r="C30" s="23" t="n">
        <f aca="false">Evaluacion!C19</f>
        <v>11</v>
      </c>
      <c r="D30" s="23" t="n">
        <f aca="false">Evaluacion!D19</f>
        <v>11.1109375</v>
      </c>
      <c r="E30" s="23" t="n">
        <f aca="false">Evaluacion!E19</f>
        <v>11.676875</v>
      </c>
      <c r="F30" s="23" t="n">
        <f aca="false">Evaluacion!F19</f>
        <v>10.3295553428062</v>
      </c>
      <c r="G30" s="23" t="n">
        <f aca="false">Evaluacion!G19</f>
        <v>11.04178125</v>
      </c>
      <c r="H30" s="23" t="n">
        <f aca="false">Evaluacion!H19</f>
        <v>11.0163940803495</v>
      </c>
      <c r="I30" s="23" t="n">
        <f aca="false">Evaluacion!I19</f>
        <v>11.044515625</v>
      </c>
    </row>
    <row r="31" customFormat="false" ht="15" hidden="false" customHeight="false" outlineLevel="0" collapsed="false">
      <c r="B31" s="21" t="s">
        <v>87</v>
      </c>
      <c r="C31" s="23" t="n">
        <f aca="false">Evaluacion!C21</f>
        <v>89.2033737797485</v>
      </c>
      <c r="D31" s="23" t="n">
        <f aca="false">Evaluacion!D21</f>
        <v>89.2298566055718</v>
      </c>
      <c r="E31" s="23" t="n">
        <f aca="false">Evaluacion!E21</f>
        <v>85.8300445618741</v>
      </c>
      <c r="F31" s="23" t="n">
        <f aca="false">Evaluacion!F21</f>
        <v>88.7994424459288</v>
      </c>
      <c r="G31" s="23" t="n">
        <f aca="false">Evaluacion!G21</f>
        <v>86.1346243059606</v>
      </c>
      <c r="H31" s="23" t="n">
        <f aca="false">Evaluacion!H21</f>
        <v>89.923874302122</v>
      </c>
      <c r="I31" s="23" t="n">
        <f aca="false">Evaluacion!I21</f>
        <v>84.8469226445931</v>
      </c>
    </row>
    <row r="32" customFormat="false" ht="15" hidden="false" customHeight="false" outlineLevel="0" collapsed="false">
      <c r="B32" s="21" t="s">
        <v>88</v>
      </c>
      <c r="C32" s="24" t="n">
        <f aca="false">Evaluacion!C22</f>
        <v>1878</v>
      </c>
      <c r="D32" s="24" t="n">
        <f aca="false">Evaluacion!D22</f>
        <v>2727.2943375</v>
      </c>
      <c r="E32" s="24" t="n">
        <f aca="false">Evaluacion!E22</f>
        <v>1397.22045</v>
      </c>
      <c r="F32" s="24" t="n">
        <f aca="false">Evaluacion!F22</f>
        <v>771.7430402362</v>
      </c>
      <c r="G32" s="24" t="n">
        <f aca="false">Evaluacion!G22</f>
        <v>2007.417075</v>
      </c>
      <c r="H32" s="24" t="n">
        <f aca="false">Evaluacion!H22</f>
        <v>1980.46766307939</v>
      </c>
      <c r="I32" s="24" t="n">
        <f aca="false">Evaluacion!I22</f>
        <v>1800.85605053192</v>
      </c>
    </row>
    <row r="33" customFormat="false" ht="15" hidden="false" customHeight="false" outlineLevel="0" collapsed="false">
      <c r="B33" s="21" t="s">
        <v>89</v>
      </c>
      <c r="C33" s="23" t="n">
        <f aca="false">Evaluacion!C27</f>
        <v>0</v>
      </c>
      <c r="D33" s="23" t="n">
        <f aca="false">Evaluacion!D27</f>
        <v>-1.22215625</v>
      </c>
      <c r="E33" s="23" t="n">
        <f aca="false">Evaluacion!E27</f>
        <v>-0.99825</v>
      </c>
      <c r="F33" s="23" t="n">
        <f aca="false">Evaluacion!F27</f>
        <v>0.105355160570144</v>
      </c>
      <c r="G33" s="23" t="n">
        <f aca="false">Evaluacion!G27</f>
        <v>0.46481875</v>
      </c>
      <c r="H33" s="23" t="n">
        <f aca="false">Evaluacion!H27</f>
        <v>-0.528693475140453</v>
      </c>
      <c r="I33" s="23" t="n">
        <f aca="false">Evaluacion!I27</f>
        <v>-1.4440875</v>
      </c>
    </row>
    <row r="34" customFormat="false" ht="15" hidden="false" customHeight="false" outlineLevel="0" collapsed="false">
      <c r="B34" s="21" t="s">
        <v>90</v>
      </c>
      <c r="C34" s="24" t="n">
        <f aca="false">Evaluacion!C26</f>
        <v>0</v>
      </c>
      <c r="D34" s="24" t="n">
        <f aca="false">Evaluacion!D26</f>
        <v>56.8</v>
      </c>
      <c r="E34" s="24" t="n">
        <f aca="false">Evaluacion!E26</f>
        <v>48.96</v>
      </c>
      <c r="F34" s="24" t="n">
        <f aca="false">Evaluacion!F26</f>
        <v>-7.26766448320658</v>
      </c>
      <c r="G34" s="24" t="n">
        <f aca="false">Evaluacion!G26</f>
        <v>-20.72</v>
      </c>
      <c r="H34" s="24" t="n">
        <f aca="false">Evaluacion!H26</f>
        <v>8.39376913896233</v>
      </c>
      <c r="I34" s="24" t="n">
        <f aca="false">Evaluacion!I26</f>
        <v>52.488</v>
      </c>
    </row>
    <row r="35" customFormat="false" ht="15" hidden="false" customHeight="false" outlineLevel="0" collapsed="false">
      <c r="B35" s="21" t="s">
        <v>91</v>
      </c>
      <c r="C35" s="24" t="n">
        <f aca="false">Evaluacion!C17</f>
        <v>0</v>
      </c>
      <c r="D35" s="24" t="n">
        <f aca="false">Evaluacion!D17</f>
        <v>0</v>
      </c>
      <c r="E35" s="24" t="n">
        <f aca="false">Evaluacion!E17</f>
        <v>0</v>
      </c>
      <c r="F35" s="24" t="n">
        <f aca="false">Evaluacion!F17</f>
        <v>0</v>
      </c>
      <c r="G35" s="24" t="n">
        <f aca="false">Evaluacion!G17</f>
        <v>0</v>
      </c>
      <c r="H35" s="24" t="n">
        <f aca="false">Evaluacion!H17</f>
        <v>0</v>
      </c>
      <c r="I35" s="24" t="n">
        <f aca="false">Evaluacion!I17</f>
        <v>0</v>
      </c>
    </row>
    <row r="36" customFormat="false" ht="15" hidden="false" customHeight="false" outlineLevel="0" collapsed="false">
      <c r="B36" s="6" t="s">
        <v>92</v>
      </c>
      <c r="C36" s="25" t="n">
        <f aca="false">Evaluacion!C38</f>
        <v>49.3887747881985</v>
      </c>
      <c r="D36" s="25" t="n">
        <f aca="false">Evaluacion!D38</f>
        <v>52.1885899176694</v>
      </c>
      <c r="E36" s="25" t="n">
        <f aca="false">Evaluacion!E38</f>
        <v>70.4229545062715</v>
      </c>
      <c r="F36" s="25" t="n">
        <f aca="false">Evaluacion!F38</f>
        <v>24.4846644841366</v>
      </c>
      <c r="G36" s="25" t="n">
        <f aca="false">Evaluacion!G38</f>
        <v>49.5848853031481</v>
      </c>
      <c r="H36" s="25" t="n">
        <f aca="false">Evaluacion!H38</f>
        <v>53.0929566157628</v>
      </c>
      <c r="I36" s="25" t="n">
        <f aca="false">Evaluacion!I38</f>
        <v>85.9333315572166</v>
      </c>
    </row>
    <row r="37" customFormat="false" ht="15" hidden="false" customHeight="false" outlineLevel="0" collapsed="false">
      <c r="B37" s="21" t="s">
        <v>93</v>
      </c>
      <c r="C37" s="20" t="n">
        <f aca="false">Evaluacion!C39</f>
        <v>6</v>
      </c>
      <c r="D37" s="20" t="n">
        <f aca="false">Evaluacion!D39</f>
        <v>4</v>
      </c>
      <c r="E37" s="20" t="n">
        <f aca="false">Evaluacion!E39</f>
        <v>2</v>
      </c>
      <c r="F37" s="20" t="n">
        <f aca="false">Evaluacion!F39</f>
        <v>7</v>
      </c>
      <c r="G37" s="20" t="n">
        <f aca="false">Evaluacion!G39</f>
        <v>5</v>
      </c>
      <c r="H37" s="20" t="n">
        <f aca="false">Evaluacion!H39</f>
        <v>3</v>
      </c>
      <c r="I37" s="20" t="n">
        <f aca="false">Evaluacion!I39</f>
        <v>1</v>
      </c>
    </row>
    <row r="38" customFormat="false" ht="23.85" hidden="false" customHeight="false" outlineLevel="0" collapsed="false">
      <c r="C38" s="26" t="s">
        <v>73</v>
      </c>
      <c r="D38" s="26" t="s">
        <v>74</v>
      </c>
      <c r="E38" s="26" t="s">
        <v>75</v>
      </c>
      <c r="F38" s="26" t="s">
        <v>76</v>
      </c>
      <c r="G38" s="26" t="s">
        <v>77</v>
      </c>
      <c r="H38" s="26" t="s">
        <v>78</v>
      </c>
      <c r="I38" s="26" t="s">
        <v>50</v>
      </c>
    </row>
    <row r="39" customFormat="false" ht="15" hidden="false" customHeight="false" outlineLevel="0" collapsed="false">
      <c r="B39" s="27" t="s">
        <v>94</v>
      </c>
      <c r="C39" s="14" t="n">
        <f aca="false">Evaluacion!C6</f>
        <v>-32869</v>
      </c>
      <c r="D39" s="14" t="n">
        <f aca="false">Evaluacion!D6</f>
        <v>-33413.370325</v>
      </c>
      <c r="E39" s="14" t="n">
        <f aca="false">Evaluacion!E6</f>
        <v>-32838.61654</v>
      </c>
      <c r="F39" s="14" t="n">
        <f aca="false">Evaluacion!F6</f>
        <v>-32884.19173</v>
      </c>
      <c r="G39" s="14" t="n">
        <f aca="false">Evaluacion!G6</f>
        <v>-32695.307887</v>
      </c>
      <c r="H39" s="14" t="n">
        <f aca="false">Evaluacion!H6</f>
        <v>-32858.87218</v>
      </c>
      <c r="I39" s="14" t="n">
        <f aca="false">Evaluacion!I6</f>
        <v>-32751.7704835</v>
      </c>
    </row>
    <row r="40" customFormat="false" ht="15" hidden="false" customHeight="false" outlineLevel="0" collapsed="false">
      <c r="B40" s="27" t="s">
        <v>95</v>
      </c>
      <c r="C40" s="14" t="n">
        <f aca="false">meta_pb</f>
        <v>-33000</v>
      </c>
      <c r="D40" s="14" t="n">
        <f aca="false">meta_pb</f>
        <v>-33000</v>
      </c>
      <c r="E40" s="14" t="n">
        <f aca="false">meta_pb</f>
        <v>-33000</v>
      </c>
      <c r="F40" s="14" t="n">
        <f aca="false">meta_pb</f>
        <v>-33000</v>
      </c>
      <c r="G40" s="14" t="n">
        <f aca="false">meta_pb</f>
        <v>-33000</v>
      </c>
      <c r="H40" s="14" t="n">
        <f aca="false">meta_pb</f>
        <v>-33000</v>
      </c>
      <c r="I40" s="14" t="n">
        <f aca="false">meta_pb</f>
        <v>-33000</v>
      </c>
    </row>
    <row r="41" customFormat="false" ht="15" hidden="false" customHeight="false" outlineLevel="0" collapsed="false">
      <c r="B41" s="27" t="s">
        <v>96</v>
      </c>
      <c r="C41" s="14" t="n">
        <f aca="false">Evaluacion!C7</f>
        <v>2409</v>
      </c>
      <c r="D41" s="14" t="n">
        <f aca="false">Evaluacion!D7</f>
        <v>2492.60425</v>
      </c>
      <c r="E41" s="14" t="n">
        <f aca="false">Evaluacion!E7</f>
        <v>2403.3786</v>
      </c>
      <c r="F41" s="14" t="n">
        <f aca="false">Evaluacion!F7</f>
        <v>2261.8107</v>
      </c>
      <c r="G41" s="14" t="n">
        <f aca="false">Evaluacion!G7</f>
        <v>2409.65583</v>
      </c>
      <c r="H41" s="14" t="n">
        <f aca="false">Evaluacion!H7</f>
        <v>2407.1262</v>
      </c>
      <c r="I41" s="14" t="n">
        <f aca="false">Evaluacion!I7</f>
        <v>2403.706515</v>
      </c>
    </row>
    <row r="42" customFormat="false" ht="15" hidden="false" customHeight="false" outlineLevel="0" collapsed="false">
      <c r="B42" s="27" t="s">
        <v>97</v>
      </c>
      <c r="C42" s="14" t="n">
        <f aca="false">meta_nir</f>
        <v>2400</v>
      </c>
      <c r="D42" s="14" t="n">
        <f aca="false">meta_nir</f>
        <v>2400</v>
      </c>
      <c r="E42" s="14" t="n">
        <f aca="false">meta_nir</f>
        <v>2400</v>
      </c>
      <c r="F42" s="14" t="n">
        <f aca="false">meta_nir</f>
        <v>2400</v>
      </c>
      <c r="G42" s="14" t="n">
        <f aca="false">meta_nir</f>
        <v>2400</v>
      </c>
      <c r="H42" s="14" t="n">
        <f aca="false">meta_nir</f>
        <v>2400</v>
      </c>
      <c r="I42" s="14" t="n">
        <f aca="false">meta_nir</f>
        <v>2400</v>
      </c>
    </row>
    <row r="44" customFormat="false" ht="15" hidden="false" customHeight="false" outlineLevel="0" collapsed="false">
      <c r="B44" s="28" t="s">
        <v>98</v>
      </c>
      <c r="C44" s="29" t="s">
        <v>99</v>
      </c>
      <c r="D44" s="29" t="s">
        <v>100</v>
      </c>
      <c r="E44" s="29" t="s">
        <v>101</v>
      </c>
      <c r="F44" s="29" t="s">
        <v>102</v>
      </c>
    </row>
    <row r="46" customFormat="false" ht="15" hidden="false" customHeight="false" outlineLevel="0" collapsed="false">
      <c r="B46" s="5" t="s">
        <v>103</v>
      </c>
    </row>
    <row r="77" customFormat="false" ht="15" hidden="false" customHeight="false" outlineLevel="0" collapsed="false">
      <c r="B77" s="5" t="s">
        <v>104</v>
      </c>
    </row>
  </sheetData>
  <mergeCells count="16">
    <mergeCell ref="C5:E5"/>
    <mergeCell ref="G5:O5"/>
    <mergeCell ref="C6:E6"/>
    <mergeCell ref="G6:O8"/>
    <mergeCell ref="C7:E7"/>
    <mergeCell ref="C8:E8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</mergeCells>
  <conditionalFormatting sqref="F11:F15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conditionalFormatting sqref="C24:I28">
    <cfRule type="cellIs" priority="4" operator="equal" aboveAverage="0" equalAverage="0" bottom="0" percent="0" rank="0" text="" dxfId="2">
      <formula>"Cumple"</formula>
    </cfRule>
    <cfRule type="cellIs" priority="5" operator="equal" aboveAverage="0" equalAverage="0" bottom="0" percent="0" rank="0" text="" dxfId="3">
      <formula>"No cumple"</formula>
    </cfRule>
  </conditionalFormatting>
  <conditionalFormatting sqref="C36:I36">
    <cfRule type="expression" priority="6" aboveAverage="0" equalAverage="0" bottom="0" percent="0" rank="0" text="" dxfId="4">
      <formula>C36=MAX($C$36:$I$36)</formula>
    </cfRule>
  </conditionalFormatting>
  <dataValidations count="4">
    <dataValidation allowBlank="false" errorStyle="stop" operator="between" showDropDown="false" showErrorMessage="false" showInputMessage="false" sqref="C5" type="list">
      <formula1>Listas!$B$2:$B$8</formula1>
      <formula2>0</formula2>
    </dataValidation>
    <dataValidation allowBlank="false" errorStyle="stop" operator="between" showDropDown="false" showErrorMessage="false" showInputMessage="false" sqref="C6" type="list">
      <formula1>Listas!$E$2:$E$7</formula1>
      <formula2>0</formula2>
    </dataValidation>
    <dataValidation allowBlank="false" errorStyle="stop" operator="between" showDropDown="false" showErrorMessage="false" showInputMessage="false" sqref="C7" type="list">
      <formula1>Listas!$G$2:$G$4</formula1>
      <formula2>0</formula2>
    </dataValidation>
    <dataValidation allowBlank="false" errorStyle="stop" operator="between" showDropDown="false" showErrorMessage="false" showInputMessage="false" sqref="C8" type="list">
      <formula1>Listas!$I$2:$I$3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C1"/>
    <pageSetUpPr fitToPage="false"/>
  </sheetPr>
  <dimension ref="B2:L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11" min="4" style="0" width="11"/>
    <col collapsed="false" customWidth="true" hidden="false" outlineLevel="0" max="12" min="12" style="0" width="44"/>
  </cols>
  <sheetData>
    <row r="2" customFormat="false" ht="18.55" hidden="false" customHeight="false" outlineLevel="0" collapsed="false">
      <c r="B2" s="1" t="s">
        <v>105</v>
      </c>
    </row>
    <row r="3" customFormat="false" ht="15" hidden="false" customHeight="false" outlineLevel="0" collapsed="false">
      <c r="B3" s="2" t="s">
        <v>106</v>
      </c>
    </row>
    <row r="5" customFormat="false" ht="15" hidden="false" customHeight="false" outlineLevel="0" collapsed="false">
      <c r="B5" s="11" t="s">
        <v>62</v>
      </c>
      <c r="C5" s="11" t="s">
        <v>107</v>
      </c>
      <c r="D5" s="11" t="s">
        <v>108</v>
      </c>
      <c r="E5" s="11" t="s">
        <v>109</v>
      </c>
      <c r="F5" s="11" t="s">
        <v>99</v>
      </c>
      <c r="G5" s="11" t="s">
        <v>100</v>
      </c>
      <c r="H5" s="11" t="s">
        <v>101</v>
      </c>
      <c r="I5" s="11" t="s">
        <v>102</v>
      </c>
      <c r="J5" s="11" t="s">
        <v>110</v>
      </c>
      <c r="K5" s="11" t="s">
        <v>111</v>
      </c>
      <c r="L5" s="11" t="s">
        <v>112</v>
      </c>
    </row>
    <row r="6" customFormat="false" ht="15" hidden="false" customHeight="false" outlineLevel="0" collapsed="false">
      <c r="B6" s="21" t="s">
        <v>113</v>
      </c>
      <c r="C6" s="30" t="s">
        <v>114</v>
      </c>
      <c r="D6" s="31" t="n">
        <v>-1.1</v>
      </c>
      <c r="E6" s="31" t="n">
        <v>-1.6</v>
      </c>
      <c r="F6" s="31" t="n">
        <v>-3</v>
      </c>
      <c r="G6" s="31" t="n">
        <v>-1.5</v>
      </c>
      <c r="H6" s="31" t="n">
        <v>0.5</v>
      </c>
      <c r="I6" s="31" t="n">
        <v>2.5</v>
      </c>
      <c r="J6" s="31" t="n">
        <v>2.9</v>
      </c>
      <c r="K6" s="31" t="n">
        <v>2.7</v>
      </c>
      <c r="L6" s="32" t="s">
        <v>115</v>
      </c>
    </row>
    <row r="7" customFormat="false" ht="15" hidden="false" customHeight="false" outlineLevel="0" collapsed="false">
      <c r="B7" s="21" t="s">
        <v>116</v>
      </c>
      <c r="C7" s="30" t="s">
        <v>114</v>
      </c>
      <c r="D7" s="31" t="n">
        <v>5.1</v>
      </c>
      <c r="E7" s="31" t="n">
        <v>19.5</v>
      </c>
      <c r="F7" s="31" t="n">
        <v>12.7</v>
      </c>
      <c r="G7" s="31" t="n">
        <v>15.8</v>
      </c>
      <c r="H7" s="31" t="n">
        <v>8.2</v>
      </c>
      <c r="I7" s="31" t="n">
        <v>7.3</v>
      </c>
      <c r="J7" s="31" t="n">
        <v>5.8</v>
      </c>
      <c r="K7" s="31" t="n">
        <v>5</v>
      </c>
      <c r="L7" s="32" t="s">
        <v>115</v>
      </c>
    </row>
    <row r="8" customFormat="false" ht="15" hidden="false" customHeight="false" outlineLevel="0" collapsed="false">
      <c r="B8" s="21" t="s">
        <v>117</v>
      </c>
      <c r="C8" s="30" t="s">
        <v>114</v>
      </c>
      <c r="D8" s="31" t="n">
        <v>10</v>
      </c>
      <c r="E8" s="31" t="n">
        <v>20.4</v>
      </c>
      <c r="F8" s="31" t="n">
        <v>14.2</v>
      </c>
      <c r="G8" s="31" t="n">
        <v>10.7</v>
      </c>
      <c r="H8" s="31" t="n">
        <v>8.7</v>
      </c>
      <c r="I8" s="31" t="n">
        <v>6.2</v>
      </c>
      <c r="J8" s="31" t="n">
        <v>5.5</v>
      </c>
      <c r="K8" s="31" t="n">
        <v>5</v>
      </c>
      <c r="L8" s="32" t="s">
        <v>115</v>
      </c>
    </row>
    <row r="9" customFormat="false" ht="15" hidden="false" customHeight="false" outlineLevel="0" collapsed="false">
      <c r="B9" s="21" t="s">
        <v>118</v>
      </c>
      <c r="C9" s="30" t="s">
        <v>119</v>
      </c>
      <c r="D9" s="33" t="n">
        <v>379230</v>
      </c>
      <c r="E9" s="33" t="n">
        <v>447553</v>
      </c>
      <c r="F9" s="33" t="n">
        <v>506391</v>
      </c>
      <c r="G9" s="33" t="n">
        <v>578299</v>
      </c>
      <c r="H9" s="33" t="n">
        <v>620371</v>
      </c>
      <c r="I9" s="33" t="n">
        <v>677934</v>
      </c>
      <c r="J9" s="33" t="n">
        <v>733289</v>
      </c>
      <c r="K9" s="33" t="n">
        <v>786849</v>
      </c>
      <c r="L9" s="32" t="s">
        <v>120</v>
      </c>
    </row>
    <row r="10" customFormat="false" ht="15" hidden="false" customHeight="false" outlineLevel="0" collapsed="false">
      <c r="B10" s="21" t="s">
        <v>121</v>
      </c>
      <c r="C10" s="30" t="s">
        <v>122</v>
      </c>
      <c r="D10" s="31" t="n">
        <v>23</v>
      </c>
      <c r="E10" s="31" t="n">
        <v>16.8</v>
      </c>
      <c r="F10" s="31" t="n">
        <v>16.9</v>
      </c>
      <c r="G10" s="31" t="n">
        <v>17.3</v>
      </c>
      <c r="H10" s="31" t="n">
        <v>19.1</v>
      </c>
      <c r="I10" s="31" t="n">
        <v>20</v>
      </c>
      <c r="J10" s="31" t="n">
        <v>20.8</v>
      </c>
      <c r="K10" s="31" t="n">
        <v>20.9</v>
      </c>
      <c r="L10" s="32" t="s">
        <v>123</v>
      </c>
    </row>
    <row r="11" customFormat="false" ht="15" hidden="false" customHeight="false" outlineLevel="0" collapsed="false">
      <c r="B11" s="21" t="s">
        <v>124</v>
      </c>
      <c r="C11" s="30" t="s">
        <v>122</v>
      </c>
      <c r="D11" s="31" t="n">
        <v>31.7</v>
      </c>
      <c r="E11" s="31" t="n">
        <v>28.2</v>
      </c>
      <c r="F11" s="31" t="n">
        <v>26.1</v>
      </c>
      <c r="G11" s="31" t="n">
        <v>24</v>
      </c>
      <c r="H11" s="31" t="n">
        <v>23</v>
      </c>
      <c r="I11" s="31" t="n">
        <v>23.2</v>
      </c>
      <c r="J11" s="31" t="n">
        <v>23.2</v>
      </c>
      <c r="K11" s="31" t="n">
        <v>23.1</v>
      </c>
      <c r="L11" s="32" t="s">
        <v>123</v>
      </c>
    </row>
    <row r="12" customFormat="false" ht="15" hidden="false" customHeight="false" outlineLevel="0" collapsed="false">
      <c r="B12" s="21" t="s">
        <v>125</v>
      </c>
      <c r="C12" s="30" t="s">
        <v>122</v>
      </c>
      <c r="D12" s="31" t="n">
        <v>4.8</v>
      </c>
      <c r="E12" s="31" t="n">
        <v>3.5</v>
      </c>
      <c r="F12" s="31" t="n">
        <v>2.5</v>
      </c>
      <c r="G12" s="31" t="n">
        <v>2.7</v>
      </c>
      <c r="H12" s="31" t="n">
        <v>3.1</v>
      </c>
      <c r="I12" s="31" t="n">
        <v>3.3</v>
      </c>
      <c r="J12" s="31" t="n">
        <v>3.4</v>
      </c>
      <c r="K12" s="31" t="n">
        <v>3.6</v>
      </c>
      <c r="L12" s="32" t="s">
        <v>123</v>
      </c>
    </row>
    <row r="13" customFormat="false" ht="15" hidden="false" customHeight="false" outlineLevel="0" collapsed="false">
      <c r="B13" s="21" t="s">
        <v>126</v>
      </c>
      <c r="C13" s="30" t="s">
        <v>122</v>
      </c>
      <c r="D13" s="31" t="n">
        <v>1.6</v>
      </c>
      <c r="E13" s="31" t="n">
        <v>1.2</v>
      </c>
      <c r="F13" s="31" t="n">
        <v>2.2</v>
      </c>
      <c r="G13" s="31" t="n">
        <v>2.2</v>
      </c>
      <c r="H13" s="31" t="n">
        <v>1.3</v>
      </c>
      <c r="I13" s="31" t="n">
        <v>1.3</v>
      </c>
      <c r="J13" s="31" t="n">
        <v>1.3</v>
      </c>
      <c r="K13" s="31" t="n">
        <v>1.3</v>
      </c>
      <c r="L13" s="32" t="s">
        <v>123</v>
      </c>
    </row>
    <row r="14" customFormat="false" ht="15" hidden="false" customHeight="false" outlineLevel="0" collapsed="false">
      <c r="B14" s="21" t="s">
        <v>127</v>
      </c>
      <c r="C14" s="30" t="s">
        <v>119</v>
      </c>
      <c r="D14" s="33" t="n">
        <v>6069</v>
      </c>
      <c r="E14" s="33" t="n">
        <v>5525</v>
      </c>
      <c r="F14" s="33" t="n">
        <v>10890</v>
      </c>
      <c r="G14" s="34" t="n">
        <f aca="false">G13/100*G9</f>
        <v>12722.578</v>
      </c>
      <c r="H14" s="34" t="n">
        <f aca="false">H13/100*H9</f>
        <v>8064.823</v>
      </c>
      <c r="I14" s="34" t="n">
        <f aca="false">I13/100*I9</f>
        <v>8813.142</v>
      </c>
      <c r="J14" s="34" t="n">
        <f aca="false">J13/100*J9</f>
        <v>9532.757</v>
      </c>
      <c r="K14" s="34" t="n">
        <f aca="false">K13/100*K9</f>
        <v>10229.037</v>
      </c>
      <c r="L14" s="32" t="s">
        <v>120</v>
      </c>
    </row>
    <row r="15" customFormat="false" ht="15" hidden="false" customHeight="false" outlineLevel="0" collapsed="false">
      <c r="B15" s="21" t="s">
        <v>128</v>
      </c>
      <c r="C15" s="30" t="s">
        <v>122</v>
      </c>
      <c r="D15" s="31" t="n">
        <v>3.5</v>
      </c>
      <c r="E15" s="31" t="n">
        <v>3.3</v>
      </c>
      <c r="F15" s="31" t="n">
        <v>2.9</v>
      </c>
      <c r="G15" s="31" t="n">
        <v>0</v>
      </c>
      <c r="H15" s="31" t="n">
        <v>0</v>
      </c>
      <c r="I15" s="31" t="n">
        <v>0</v>
      </c>
      <c r="J15" s="31" t="n">
        <v>0</v>
      </c>
      <c r="K15" s="31" t="n">
        <v>0</v>
      </c>
      <c r="L15" s="32" t="s">
        <v>129</v>
      </c>
    </row>
    <row r="16" customFormat="false" ht="15" hidden="false" customHeight="false" outlineLevel="0" collapsed="false">
      <c r="B16" s="21" t="s">
        <v>130</v>
      </c>
      <c r="C16" s="30" t="s">
        <v>122</v>
      </c>
      <c r="D16" s="31" t="n">
        <v>2.6</v>
      </c>
      <c r="E16" s="31" t="n">
        <v>2.5</v>
      </c>
      <c r="F16" s="31" t="n">
        <v>2.7</v>
      </c>
      <c r="G16" s="31" t="n">
        <v>3.7</v>
      </c>
      <c r="H16" s="31" t="n">
        <v>3.7</v>
      </c>
      <c r="I16" s="31" t="n">
        <v>3.8</v>
      </c>
      <c r="J16" s="31" t="n">
        <v>3.7</v>
      </c>
      <c r="K16" s="31" t="n">
        <v>3.6</v>
      </c>
      <c r="L16" s="32" t="s">
        <v>123</v>
      </c>
    </row>
    <row r="17" customFormat="false" ht="15" hidden="false" customHeight="false" outlineLevel="0" collapsed="false">
      <c r="B17" s="21" t="s">
        <v>131</v>
      </c>
      <c r="C17" s="30" t="s">
        <v>122</v>
      </c>
      <c r="D17" s="31" t="n">
        <v>-6.1</v>
      </c>
      <c r="E17" s="31" t="n">
        <v>-8.8</v>
      </c>
      <c r="F17" s="31" t="n">
        <v>-6.5</v>
      </c>
      <c r="G17" s="31" t="n">
        <v>-3</v>
      </c>
      <c r="H17" s="31" t="n">
        <v>-0.3</v>
      </c>
      <c r="I17" s="31" t="n">
        <v>0.6</v>
      </c>
      <c r="J17" s="31" t="n">
        <v>1.3</v>
      </c>
      <c r="K17" s="31" t="n">
        <v>1.4</v>
      </c>
      <c r="L17" s="32" t="s">
        <v>132</v>
      </c>
    </row>
    <row r="18" customFormat="false" ht="15" hidden="false" customHeight="false" outlineLevel="0" collapsed="false">
      <c r="B18" s="21" t="s">
        <v>131</v>
      </c>
      <c r="C18" s="30" t="s">
        <v>119</v>
      </c>
      <c r="D18" s="33" t="n">
        <v>-22971</v>
      </c>
      <c r="E18" s="33" t="n">
        <v>-39587</v>
      </c>
      <c r="F18" s="33" t="n">
        <v>-32869</v>
      </c>
      <c r="G18" s="33" t="n">
        <v>-17466</v>
      </c>
      <c r="H18" s="34" t="n">
        <f aca="false">H17/100*H9</f>
        <v>-1861.113</v>
      </c>
      <c r="I18" s="34" t="n">
        <f aca="false">I17/100*I9</f>
        <v>4067.604</v>
      </c>
      <c r="J18" s="34" t="n">
        <f aca="false">J17/100*J9</f>
        <v>9532.757</v>
      </c>
      <c r="K18" s="34" t="n">
        <f aca="false">K17/100*K9</f>
        <v>11015.886</v>
      </c>
      <c r="L18" s="32" t="s">
        <v>133</v>
      </c>
    </row>
    <row r="19" customFormat="false" ht="15" hidden="false" customHeight="false" outlineLevel="0" collapsed="false">
      <c r="B19" s="21" t="s">
        <v>134</v>
      </c>
      <c r="C19" s="30" t="s">
        <v>122</v>
      </c>
      <c r="D19" s="31" t="n">
        <v>-8.7</v>
      </c>
      <c r="E19" s="31" t="n">
        <v>-11.4</v>
      </c>
      <c r="F19" s="31" t="n">
        <v>-9.2</v>
      </c>
      <c r="G19" s="31" t="n">
        <v>-6.7</v>
      </c>
      <c r="H19" s="31" t="n">
        <v>-4</v>
      </c>
      <c r="I19" s="31" t="n">
        <v>-3.2</v>
      </c>
      <c r="J19" s="31" t="n">
        <v>-2.4</v>
      </c>
      <c r="K19" s="31" t="n">
        <v>-2.2</v>
      </c>
      <c r="L19" s="32" t="s">
        <v>132</v>
      </c>
    </row>
    <row r="20" customFormat="false" ht="15" hidden="false" customHeight="false" outlineLevel="0" collapsed="false">
      <c r="B20" s="21" t="s">
        <v>135</v>
      </c>
      <c r="C20" s="30" t="s">
        <v>122</v>
      </c>
      <c r="D20" s="31" t="n">
        <v>83.2</v>
      </c>
      <c r="E20" s="31" t="n">
        <v>83.3</v>
      </c>
      <c r="F20" s="31" t="n">
        <v>100.5</v>
      </c>
      <c r="G20" s="31" t="n">
        <v>95.4</v>
      </c>
      <c r="H20" s="31" t="n">
        <v>93.2</v>
      </c>
      <c r="I20" s="31" t="n">
        <v>89.2</v>
      </c>
      <c r="J20" s="31" t="n">
        <v>85.7</v>
      </c>
      <c r="K20" s="31" t="n">
        <v>82.7</v>
      </c>
      <c r="L20" s="32" t="s">
        <v>132</v>
      </c>
    </row>
    <row r="21" customFormat="false" ht="15" hidden="false" customHeight="false" outlineLevel="0" collapsed="false">
      <c r="B21" s="21" t="s">
        <v>135</v>
      </c>
      <c r="C21" s="30" t="s">
        <v>119</v>
      </c>
      <c r="D21" s="33" t="n">
        <v>315590</v>
      </c>
      <c r="E21" s="33" t="n">
        <v>372887</v>
      </c>
      <c r="F21" s="33" t="n">
        <v>508810</v>
      </c>
      <c r="G21" s="33" t="n">
        <v>551473</v>
      </c>
      <c r="H21" s="33" t="n">
        <v>578096</v>
      </c>
      <c r="I21" s="33" t="n">
        <v>604740</v>
      </c>
      <c r="J21" s="33" t="n">
        <v>628114</v>
      </c>
      <c r="K21" s="33" t="n">
        <v>650725</v>
      </c>
      <c r="L21" s="32" t="s">
        <v>120</v>
      </c>
    </row>
    <row r="22" customFormat="false" ht="15" hidden="false" customHeight="false" outlineLevel="0" collapsed="false">
      <c r="B22" s="21" t="s">
        <v>136</v>
      </c>
      <c r="C22" s="30" t="s">
        <v>119</v>
      </c>
      <c r="D22" s="33" t="n">
        <v>91550</v>
      </c>
      <c r="E22" s="33" t="n">
        <v>98284</v>
      </c>
      <c r="F22" s="33" t="n">
        <v>204596</v>
      </c>
      <c r="G22" s="33" t="n">
        <v>229658</v>
      </c>
      <c r="H22" s="33" t="n">
        <v>238910</v>
      </c>
      <c r="I22" s="33" t="n">
        <v>249488</v>
      </c>
      <c r="J22" s="33" t="n">
        <v>259994</v>
      </c>
      <c r="K22" s="33" t="n">
        <v>269237</v>
      </c>
      <c r="L22" s="32" t="s">
        <v>120</v>
      </c>
    </row>
    <row r="23" customFormat="false" ht="15" hidden="false" customHeight="false" outlineLevel="0" collapsed="false">
      <c r="B23" s="21" t="s">
        <v>137</v>
      </c>
      <c r="C23" s="30" t="s">
        <v>122</v>
      </c>
      <c r="D23" s="31" t="n">
        <v>-2.4</v>
      </c>
      <c r="E23" s="31" t="n">
        <v>-1.9</v>
      </c>
      <c r="F23" s="31" t="n">
        <v>1.6</v>
      </c>
      <c r="G23" s="31" t="n">
        <v>1</v>
      </c>
      <c r="H23" s="31" t="n">
        <v>0.4</v>
      </c>
      <c r="I23" s="31" t="n">
        <v>-0.3</v>
      </c>
      <c r="J23" s="31" t="n">
        <v>-1</v>
      </c>
      <c r="K23" s="31" t="n">
        <v>-1.6</v>
      </c>
      <c r="L23" s="32" t="s">
        <v>138</v>
      </c>
    </row>
    <row r="24" customFormat="false" ht="15" hidden="false" customHeight="false" outlineLevel="0" collapsed="false">
      <c r="B24" s="21" t="s">
        <v>139</v>
      </c>
      <c r="C24" s="30" t="s">
        <v>140</v>
      </c>
      <c r="D24" s="35" t="s">
        <v>141</v>
      </c>
      <c r="E24" s="35" t="s">
        <v>141</v>
      </c>
      <c r="F24" s="33" t="n">
        <v>12492</v>
      </c>
      <c r="G24" s="33" t="n">
        <v>12389</v>
      </c>
      <c r="H24" s="33" t="n">
        <v>13222</v>
      </c>
      <c r="I24" s="33" t="n">
        <v>14040</v>
      </c>
      <c r="J24" s="33" t="n">
        <v>15116</v>
      </c>
      <c r="K24" s="33" t="n">
        <v>16394</v>
      </c>
      <c r="L24" s="32" t="s">
        <v>142</v>
      </c>
    </row>
    <row r="25" customFormat="false" ht="15" hidden="false" customHeight="false" outlineLevel="0" collapsed="false">
      <c r="B25" s="21" t="s">
        <v>139</v>
      </c>
      <c r="C25" s="30" t="s">
        <v>122</v>
      </c>
      <c r="D25" s="31" t="n">
        <v>20.6</v>
      </c>
      <c r="E25" s="31" t="n">
        <v>17.6</v>
      </c>
      <c r="F25" s="31" t="n">
        <v>23.2</v>
      </c>
      <c r="G25" s="31" t="n">
        <v>28.2</v>
      </c>
      <c r="H25" s="31" t="n">
        <v>28.5</v>
      </c>
      <c r="I25" s="31" t="n">
        <v>28.1</v>
      </c>
      <c r="J25" s="31" t="n">
        <v>28.4</v>
      </c>
      <c r="K25" s="31" t="n">
        <v>29.1</v>
      </c>
      <c r="L25" s="32" t="s">
        <v>143</v>
      </c>
    </row>
    <row r="26" customFormat="false" ht="15" hidden="false" customHeight="false" outlineLevel="0" collapsed="false">
      <c r="B26" s="21" t="s">
        <v>144</v>
      </c>
      <c r="C26" s="30" t="s">
        <v>140</v>
      </c>
      <c r="D26" s="35" t="s">
        <v>141</v>
      </c>
      <c r="E26" s="35" t="s">
        <v>141</v>
      </c>
      <c r="F26" s="33" t="n">
        <v>3845</v>
      </c>
      <c r="G26" s="33" t="n">
        <v>3215</v>
      </c>
      <c r="H26" s="33" t="n">
        <v>3107</v>
      </c>
      <c r="I26" s="33" t="n">
        <v>3126</v>
      </c>
      <c r="J26" s="33" t="n">
        <v>3152</v>
      </c>
      <c r="K26" s="33" t="n">
        <v>3175</v>
      </c>
      <c r="L26" s="32" t="s">
        <v>142</v>
      </c>
    </row>
    <row r="27" customFormat="false" ht="15" hidden="false" customHeight="false" outlineLevel="0" collapsed="false">
      <c r="B27" s="21" t="s">
        <v>145</v>
      </c>
      <c r="C27" s="30" t="s">
        <v>140</v>
      </c>
      <c r="D27" s="33" t="n">
        <v>1977</v>
      </c>
      <c r="E27" s="33" t="n">
        <v>3713</v>
      </c>
      <c r="F27" s="33" t="n">
        <v>5734</v>
      </c>
      <c r="G27" s="33" t="n">
        <v>7297</v>
      </c>
      <c r="H27" s="33" t="n">
        <v>8100</v>
      </c>
      <c r="I27" s="33" t="n">
        <v>8937</v>
      </c>
      <c r="J27" s="33" t="n">
        <v>9258</v>
      </c>
      <c r="K27" s="33" t="n">
        <v>9644</v>
      </c>
      <c r="L27" s="32" t="s">
        <v>115</v>
      </c>
    </row>
    <row r="28" customFormat="false" ht="15" hidden="false" customHeight="false" outlineLevel="0" collapsed="false">
      <c r="B28" s="21" t="s">
        <v>146</v>
      </c>
      <c r="C28" s="30" t="s">
        <v>140</v>
      </c>
      <c r="D28" s="33" t="n">
        <v>132</v>
      </c>
      <c r="E28" s="33" t="n">
        <v>627</v>
      </c>
      <c r="F28" s="33" t="n">
        <v>2458</v>
      </c>
      <c r="G28" s="33" t="n">
        <v>3982</v>
      </c>
      <c r="H28" s="33" t="n">
        <v>4690</v>
      </c>
      <c r="I28" s="33" t="n">
        <v>5527</v>
      </c>
      <c r="J28" s="33" t="n">
        <v>5847</v>
      </c>
      <c r="K28" s="33" t="n">
        <v>6234</v>
      </c>
      <c r="L28" s="32" t="s">
        <v>115</v>
      </c>
    </row>
    <row r="29" customFormat="false" ht="15" hidden="false" customHeight="false" outlineLevel="0" collapsed="false">
      <c r="B29" s="21" t="s">
        <v>147</v>
      </c>
      <c r="C29" s="30" t="s">
        <v>114</v>
      </c>
      <c r="D29" s="31" t="n">
        <v>2.7</v>
      </c>
      <c r="E29" s="31" t="n">
        <v>10.9</v>
      </c>
      <c r="F29" s="31" t="n">
        <v>53.4</v>
      </c>
      <c r="G29" s="31" t="n">
        <v>86.1</v>
      </c>
      <c r="H29" s="31" t="n">
        <v>100.1</v>
      </c>
      <c r="I29" s="31" t="n">
        <v>112.3</v>
      </c>
      <c r="J29" s="31" t="n">
        <v>114</v>
      </c>
      <c r="K29" s="31" t="n">
        <v>120.2</v>
      </c>
      <c r="L29" s="32" t="s">
        <v>115</v>
      </c>
    </row>
    <row r="30" customFormat="false" ht="15" hidden="false" customHeight="false" outlineLevel="0" collapsed="false">
      <c r="B30" s="21" t="s">
        <v>148</v>
      </c>
      <c r="C30" s="30" t="s">
        <v>149</v>
      </c>
      <c r="D30" s="31" t="n">
        <v>0.1</v>
      </c>
      <c r="E30" s="31" t="n">
        <v>0.6</v>
      </c>
      <c r="F30" s="31" t="n">
        <v>2.4</v>
      </c>
      <c r="G30" s="31" t="n">
        <v>3.6</v>
      </c>
      <c r="H30" s="31" t="n">
        <v>4</v>
      </c>
      <c r="I30" s="31" t="n">
        <v>4.4</v>
      </c>
      <c r="J30" s="31" t="n">
        <v>4.3</v>
      </c>
      <c r="K30" s="31" t="n">
        <v>4.3</v>
      </c>
      <c r="L30" s="32" t="s">
        <v>115</v>
      </c>
    </row>
    <row r="31" customFormat="false" ht="15" hidden="false" customHeight="false" outlineLevel="0" collapsed="false">
      <c r="B31" s="21" t="s">
        <v>150</v>
      </c>
      <c r="C31" s="30" t="s">
        <v>140</v>
      </c>
      <c r="D31" s="35" t="s">
        <v>141</v>
      </c>
      <c r="E31" s="33" t="n">
        <v>-2990</v>
      </c>
      <c r="F31" s="33" t="n">
        <v>-581</v>
      </c>
      <c r="G31" s="33" t="n">
        <v>744</v>
      </c>
      <c r="H31" s="33" t="n">
        <v>1304</v>
      </c>
      <c r="I31" s="33" t="n">
        <v>1878</v>
      </c>
      <c r="J31" s="33" t="n">
        <v>2199</v>
      </c>
      <c r="K31" s="33" t="n">
        <v>2676</v>
      </c>
      <c r="L31" s="32" t="s">
        <v>151</v>
      </c>
    </row>
    <row r="32" customFormat="false" ht="15" hidden="false" customHeight="false" outlineLevel="0" collapsed="false">
      <c r="B32" s="21" t="s">
        <v>152</v>
      </c>
      <c r="C32" s="30" t="s">
        <v>114</v>
      </c>
      <c r="D32" s="31" t="n">
        <v>3.2</v>
      </c>
      <c r="E32" s="31" t="n">
        <v>3.1</v>
      </c>
      <c r="F32" s="31" t="n">
        <v>4</v>
      </c>
      <c r="G32" s="31" t="n">
        <v>7.3</v>
      </c>
      <c r="H32" s="31" t="n">
        <v>7.3</v>
      </c>
      <c r="I32" s="31" t="n">
        <v>9.5</v>
      </c>
      <c r="J32" s="31" t="n">
        <v>8.7</v>
      </c>
      <c r="K32" s="31" t="n">
        <v>8.4</v>
      </c>
      <c r="L32" s="32" t="s">
        <v>153</v>
      </c>
    </row>
    <row r="33" customFormat="false" ht="15" hidden="false" customHeight="false" outlineLevel="0" collapsed="false">
      <c r="B33" s="21" t="s">
        <v>154</v>
      </c>
      <c r="C33" s="30" t="s">
        <v>122</v>
      </c>
      <c r="D33" s="31" t="n">
        <v>59.2</v>
      </c>
      <c r="E33" s="31" t="n">
        <v>51.7</v>
      </c>
      <c r="F33" s="31" t="n">
        <v>47.6</v>
      </c>
      <c r="G33" s="31" t="n">
        <v>44.7</v>
      </c>
      <c r="H33" s="31" t="n">
        <v>44.7</v>
      </c>
      <c r="I33" s="31" t="n">
        <v>44.8</v>
      </c>
      <c r="J33" s="31" t="n">
        <v>45</v>
      </c>
      <c r="K33" s="31" t="n">
        <v>45.5</v>
      </c>
      <c r="L33" s="32" t="s">
        <v>155</v>
      </c>
    </row>
    <row r="34" customFormat="false" ht="15" hidden="false" customHeight="false" outlineLevel="0" collapsed="false">
      <c r="B34" s="21" t="s">
        <v>156</v>
      </c>
      <c r="C34" s="30" t="s">
        <v>119</v>
      </c>
      <c r="D34" s="33" t="n">
        <v>104819</v>
      </c>
      <c r="E34" s="33" t="n">
        <v>132269</v>
      </c>
      <c r="F34" s="33" t="n">
        <v>136564</v>
      </c>
      <c r="G34" s="33" t="n">
        <v>148333</v>
      </c>
      <c r="H34" s="33" t="n">
        <v>161304</v>
      </c>
      <c r="I34" s="33" t="n">
        <v>177013</v>
      </c>
      <c r="J34" s="33" t="n">
        <v>192144</v>
      </c>
      <c r="K34" s="33" t="n">
        <v>206603</v>
      </c>
      <c r="L34" s="32" t="s">
        <v>155</v>
      </c>
    </row>
    <row r="35" customFormat="false" ht="15" hidden="false" customHeight="false" outlineLevel="0" collapsed="false">
      <c r="B35" s="21" t="s">
        <v>157</v>
      </c>
      <c r="C35" s="30" t="s">
        <v>158</v>
      </c>
      <c r="D35" s="31" t="n">
        <v>79.2</v>
      </c>
      <c r="E35" s="31" t="n">
        <v>67.7</v>
      </c>
      <c r="F35" s="31" t="n">
        <v>89.3</v>
      </c>
      <c r="G35" s="31" t="n">
        <v>78.7</v>
      </c>
      <c r="H35" s="31" t="n">
        <v>74.2</v>
      </c>
      <c r="I35" s="31" t="n">
        <v>71.5</v>
      </c>
      <c r="J35" s="31" t="n">
        <v>69.4</v>
      </c>
      <c r="K35" s="31" t="n">
        <v>67.6</v>
      </c>
      <c r="L35" s="32" t="s">
        <v>159</v>
      </c>
    </row>
    <row r="36" customFormat="false" ht="15" hidden="false" customHeight="false" outlineLevel="0" collapsed="false">
      <c r="B36" s="21" t="s">
        <v>160</v>
      </c>
      <c r="C36" s="30" t="s">
        <v>140</v>
      </c>
      <c r="D36" s="35" t="s">
        <v>141</v>
      </c>
      <c r="E36" s="35" t="s">
        <v>141</v>
      </c>
      <c r="F36" s="33" t="n">
        <v>1500</v>
      </c>
      <c r="G36" s="33" t="n">
        <v>1800</v>
      </c>
      <c r="H36" s="33" t="n">
        <v>800</v>
      </c>
      <c r="I36" s="33" t="n">
        <v>0</v>
      </c>
      <c r="J36" s="35" t="s">
        <v>141</v>
      </c>
      <c r="K36" s="35" t="s">
        <v>141</v>
      </c>
      <c r="L36" s="32" t="s">
        <v>161</v>
      </c>
    </row>
    <row r="37" customFormat="false" ht="15" hidden="false" customHeight="false" outlineLevel="0" collapsed="false">
      <c r="B37" s="21" t="s">
        <v>162</v>
      </c>
      <c r="C37" s="30" t="s">
        <v>140</v>
      </c>
      <c r="D37" s="35" t="s">
        <v>141</v>
      </c>
      <c r="E37" s="35" t="s">
        <v>141</v>
      </c>
      <c r="F37" s="33" t="n">
        <v>400</v>
      </c>
      <c r="G37" s="33" t="n">
        <v>700</v>
      </c>
      <c r="H37" s="33" t="n">
        <v>500</v>
      </c>
      <c r="I37" s="33" t="n">
        <v>300</v>
      </c>
      <c r="J37" s="35" t="s">
        <v>141</v>
      </c>
      <c r="K37" s="35" t="s">
        <v>141</v>
      </c>
      <c r="L37" s="32" t="s">
        <v>161</v>
      </c>
    </row>
    <row r="38" customFormat="false" ht="15" hidden="false" customHeight="false" outlineLevel="0" collapsed="false">
      <c r="B38" s="21" t="s">
        <v>163</v>
      </c>
      <c r="C38" s="30" t="s">
        <v>140</v>
      </c>
      <c r="D38" s="35" t="s">
        <v>141</v>
      </c>
      <c r="E38" s="35" t="s">
        <v>141</v>
      </c>
      <c r="F38" s="33" t="n">
        <v>1000</v>
      </c>
      <c r="G38" s="33" t="n">
        <v>0</v>
      </c>
      <c r="H38" s="33" t="n">
        <v>0</v>
      </c>
      <c r="I38" s="33" t="n">
        <v>600</v>
      </c>
      <c r="J38" s="35" t="s">
        <v>141</v>
      </c>
      <c r="K38" s="35" t="s">
        <v>141</v>
      </c>
      <c r="L38" s="32" t="s">
        <v>161</v>
      </c>
    </row>
    <row r="40" customFormat="false" ht="15" hidden="false" customHeight="false" outlineLevel="0" collapsed="false">
      <c r="B40" s="36" t="s">
        <v>164</v>
      </c>
    </row>
    <row r="41" customFormat="false" ht="15" hidden="false" customHeight="false" outlineLevel="0" collapsed="false">
      <c r="B41" s="21" t="s">
        <v>165</v>
      </c>
      <c r="C41" s="30" t="s">
        <v>140</v>
      </c>
      <c r="F41" s="34" t="n">
        <f aca="false">F24/(F25/100)</f>
        <v>53844.8275862069</v>
      </c>
      <c r="G41" s="34" t="n">
        <f aca="false">G24/(G25/100)</f>
        <v>43932.6241134752</v>
      </c>
      <c r="H41" s="34" t="n">
        <f aca="false">H24/(H25/100)</f>
        <v>46392.9824561404</v>
      </c>
      <c r="I41" s="34" t="n">
        <f aca="false">I24/(I25/100)</f>
        <v>49964.4128113879</v>
      </c>
      <c r="J41" s="34" t="n">
        <f aca="false">J24/(J25/100)</f>
        <v>53225.3521126761</v>
      </c>
      <c r="K41" s="34" t="n">
        <f aca="false">K24/(K25/100)</f>
        <v>56336.7697594502</v>
      </c>
      <c r="L41" s="32" t="s">
        <v>166</v>
      </c>
    </row>
    <row r="42" customFormat="false" ht="15" hidden="false" customHeight="false" outlineLevel="0" collapsed="false">
      <c r="B42" s="21" t="s">
        <v>167</v>
      </c>
      <c r="C42" s="30" t="s">
        <v>168</v>
      </c>
      <c r="F42" s="37" t="n">
        <f aca="false">F9/F41</f>
        <v>9.40463592699328</v>
      </c>
      <c r="G42" s="37" t="n">
        <f aca="false">G9/G41</f>
        <v>13.1633156832674</v>
      </c>
      <c r="H42" s="37" t="n">
        <f aca="false">H9/H41</f>
        <v>13.3720870518832</v>
      </c>
      <c r="I42" s="37" t="n">
        <f aca="false">I9/I41</f>
        <v>13.5683371794872</v>
      </c>
      <c r="J42" s="37" t="n">
        <f aca="false">J9/J41</f>
        <v>13.7770624503837</v>
      </c>
      <c r="K42" s="37" t="n">
        <f aca="false">K9/K41</f>
        <v>13.9668817250214</v>
      </c>
      <c r="L42" s="32" t="s">
        <v>169</v>
      </c>
    </row>
    <row r="43" customFormat="false" ht="15" hidden="false" customHeight="false" outlineLevel="0" collapsed="false">
      <c r="B43" s="21" t="s">
        <v>170</v>
      </c>
      <c r="C43" s="30" t="s">
        <v>140</v>
      </c>
      <c r="F43" s="34" t="n">
        <f aca="false">F31-E31</f>
        <v>2409</v>
      </c>
      <c r="G43" s="34" t="n">
        <f aca="false">G31-F31</f>
        <v>1325</v>
      </c>
      <c r="H43" s="34" t="n">
        <f aca="false">H31-G31</f>
        <v>560</v>
      </c>
      <c r="I43" s="34" t="n">
        <f aca="false">I31-H31</f>
        <v>574</v>
      </c>
      <c r="J43" s="34" t="n">
        <f aca="false">J31-I31</f>
        <v>321</v>
      </c>
      <c r="K43" s="34" t="n">
        <f aca="false">K31-J31</f>
        <v>477</v>
      </c>
      <c r="L43" s="32" t="s">
        <v>171</v>
      </c>
    </row>
    <row r="44" customFormat="false" ht="15" hidden="false" customHeight="false" outlineLevel="0" collapsed="false">
      <c r="B44" s="36" t="s">
        <v>172</v>
      </c>
    </row>
    <row r="45" customFormat="false" ht="15" hidden="false" customHeight="false" outlineLevel="0" collapsed="false">
      <c r="B45" s="21" t="s">
        <v>173</v>
      </c>
      <c r="C45" s="30" t="s">
        <v>114</v>
      </c>
      <c r="D45" s="31" t="n">
        <v>37.7</v>
      </c>
      <c r="L45" s="32" t="s">
        <v>115</v>
      </c>
    </row>
    <row r="46" customFormat="false" ht="15" hidden="false" customHeight="false" outlineLevel="0" collapsed="false">
      <c r="B46" s="21" t="s">
        <v>174</v>
      </c>
      <c r="C46" s="30" t="s">
        <v>114</v>
      </c>
      <c r="D46" s="31" t="n">
        <v>3</v>
      </c>
      <c r="L46" s="32" t="s">
        <v>115</v>
      </c>
    </row>
    <row r="47" customFormat="false" ht="15" hidden="false" customHeight="false" outlineLevel="0" collapsed="false">
      <c r="B47" s="21" t="s">
        <v>175</v>
      </c>
      <c r="C47" s="30" t="s">
        <v>176</v>
      </c>
      <c r="D47" s="31" t="n">
        <v>12.3</v>
      </c>
      <c r="L47" s="3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C1"/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60"/>
  </cols>
  <sheetData>
    <row r="2" customFormat="false" ht="18.55" hidden="false" customHeight="false" outlineLevel="0" collapsed="false">
      <c r="B2" s="1" t="s">
        <v>177</v>
      </c>
    </row>
    <row r="3" customFormat="false" ht="15" hidden="false" customHeight="false" outlineLevel="0" collapsed="false">
      <c r="B3" s="2" t="s">
        <v>178</v>
      </c>
    </row>
    <row r="5" customFormat="false" ht="15" hidden="false" customHeight="false" outlineLevel="0" collapsed="false">
      <c r="B5" s="11" t="s">
        <v>179</v>
      </c>
      <c r="C5" s="11" t="s">
        <v>180</v>
      </c>
      <c r="D5" s="11" t="s">
        <v>59</v>
      </c>
      <c r="E5" s="11" t="s">
        <v>107</v>
      </c>
      <c r="F5" s="11" t="s">
        <v>181</v>
      </c>
    </row>
    <row r="6" customFormat="false" ht="30" hidden="false" customHeight="true" outlineLevel="0" collapsed="false">
      <c r="B6" s="4" t="s">
        <v>182</v>
      </c>
      <c r="C6" s="4" t="s">
        <v>183</v>
      </c>
      <c r="D6" s="38" t="n">
        <v>-33000</v>
      </c>
      <c r="E6" s="30" t="s">
        <v>119</v>
      </c>
      <c r="F6" s="4" t="s">
        <v>184</v>
      </c>
    </row>
    <row r="7" customFormat="false" ht="30" hidden="false" customHeight="true" outlineLevel="0" collapsed="false">
      <c r="B7" s="4" t="s">
        <v>185</v>
      </c>
      <c r="C7" s="4" t="s">
        <v>183</v>
      </c>
      <c r="D7" s="38" t="n">
        <v>2400</v>
      </c>
      <c r="E7" s="30" t="s">
        <v>140</v>
      </c>
      <c r="F7" s="4" t="s">
        <v>186</v>
      </c>
    </row>
    <row r="8" customFormat="false" ht="30" hidden="false" customHeight="true" outlineLevel="0" collapsed="false">
      <c r="B8" s="4" t="s">
        <v>187</v>
      </c>
      <c r="C8" s="4" t="s">
        <v>188</v>
      </c>
      <c r="D8" s="38" t="n">
        <v>0</v>
      </c>
      <c r="E8" s="30" t="s">
        <v>119</v>
      </c>
      <c r="F8" s="4" t="s">
        <v>189</v>
      </c>
    </row>
    <row r="9" customFormat="false" ht="30" hidden="false" customHeight="true" outlineLevel="0" collapsed="false">
      <c r="B9" s="4" t="s">
        <v>190</v>
      </c>
      <c r="C9" s="4" t="s">
        <v>191</v>
      </c>
      <c r="D9" s="38" t="n">
        <v>9300</v>
      </c>
      <c r="E9" s="30" t="s">
        <v>119</v>
      </c>
      <c r="F9" s="4" t="s">
        <v>192</v>
      </c>
    </row>
    <row r="10" customFormat="false" ht="30" hidden="false" customHeight="true" outlineLevel="0" collapsed="false">
      <c r="B10" s="4" t="s">
        <v>193</v>
      </c>
      <c r="C10" s="4" t="s">
        <v>191</v>
      </c>
      <c r="D10" s="38" t="n">
        <v>133900</v>
      </c>
      <c r="E10" s="30" t="s">
        <v>119</v>
      </c>
      <c r="F10" s="4" t="s">
        <v>194</v>
      </c>
    </row>
    <row r="12" customFormat="false" ht="15" hidden="false" customHeight="false" outlineLevel="0" collapsed="false">
      <c r="B12" s="36" t="s">
        <v>195</v>
      </c>
    </row>
    <row r="13" customFormat="false" ht="30" hidden="false" customHeight="true" outlineLevel="0" collapsed="false">
      <c r="B13" s="4" t="s">
        <v>196</v>
      </c>
      <c r="C13" s="4"/>
      <c r="D13" s="4"/>
      <c r="E13" s="4"/>
      <c r="F13" s="4"/>
    </row>
    <row r="14" customFormat="false" ht="30" hidden="false" customHeight="true" outlineLevel="0" collapsed="false">
      <c r="B14" s="4" t="s">
        <v>197</v>
      </c>
      <c r="C14" s="4"/>
      <c r="D14" s="4"/>
      <c r="E14" s="4"/>
      <c r="F14" s="4"/>
    </row>
  </sheetData>
  <mergeCells count="2">
    <mergeCell ref="B13:F13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C1"/>
    <pageSetUpPr fitToPage="false"/>
  </sheetPr>
  <dimension ref="B2:F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5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80"/>
  </cols>
  <sheetData>
    <row r="2" customFormat="false" ht="18.55" hidden="false" customHeight="false" outlineLevel="0" collapsed="false">
      <c r="B2" s="1" t="s">
        <v>198</v>
      </c>
    </row>
    <row r="3" customFormat="false" ht="15" hidden="false" customHeight="false" outlineLevel="0" collapsed="false">
      <c r="B3" s="2" t="s">
        <v>199</v>
      </c>
    </row>
    <row r="5" customFormat="false" ht="15" hidden="false" customHeight="false" outlineLevel="0" collapsed="false">
      <c r="B5" s="11" t="s">
        <v>200</v>
      </c>
      <c r="C5" s="11" t="s">
        <v>201</v>
      </c>
      <c r="D5" s="11" t="s">
        <v>58</v>
      </c>
      <c r="E5" s="11" t="s">
        <v>107</v>
      </c>
      <c r="F5" s="11" t="s">
        <v>202</v>
      </c>
    </row>
    <row r="6" customFormat="false" ht="15" hidden="false" customHeight="false" outlineLevel="0" collapsed="false">
      <c r="B6" s="36" t="s">
        <v>203</v>
      </c>
      <c r="C6" s="36"/>
      <c r="D6" s="36"/>
      <c r="E6" s="36"/>
      <c r="F6" s="36"/>
    </row>
    <row r="7" customFormat="false" ht="27.75" hidden="false" customHeight="true" outlineLevel="0" collapsed="false">
      <c r="B7" s="32" t="s">
        <v>204</v>
      </c>
      <c r="C7" s="4" t="s">
        <v>205</v>
      </c>
      <c r="D7" s="39" t="n">
        <v>0.25</v>
      </c>
      <c r="E7" s="30" t="s">
        <v>206</v>
      </c>
      <c r="F7" s="4" t="s">
        <v>207</v>
      </c>
    </row>
    <row r="8" customFormat="false" ht="15" hidden="false" customHeight="false" outlineLevel="0" collapsed="false">
      <c r="B8" s="36" t="s">
        <v>208</v>
      </c>
      <c r="C8" s="36"/>
      <c r="D8" s="36"/>
      <c r="E8" s="36"/>
      <c r="F8" s="36"/>
    </row>
    <row r="9" customFormat="false" ht="27.75" hidden="false" customHeight="true" outlineLevel="0" collapsed="false">
      <c r="B9" s="32" t="s">
        <v>209</v>
      </c>
      <c r="C9" s="4" t="s">
        <v>210</v>
      </c>
      <c r="D9" s="39" t="n">
        <v>0.7</v>
      </c>
      <c r="E9" s="30" t="s">
        <v>211</v>
      </c>
      <c r="F9" s="4" t="s">
        <v>212</v>
      </c>
    </row>
    <row r="10" customFormat="false" ht="27.75" hidden="false" customHeight="true" outlineLevel="0" collapsed="false">
      <c r="B10" s="32" t="s">
        <v>213</v>
      </c>
      <c r="C10" s="4" t="s">
        <v>214</v>
      </c>
      <c r="D10" s="39" t="n">
        <v>0.4</v>
      </c>
      <c r="E10" s="30" t="s">
        <v>211</v>
      </c>
      <c r="F10" s="4" t="s">
        <v>215</v>
      </c>
    </row>
    <row r="11" customFormat="false" ht="27.75" hidden="false" customHeight="true" outlineLevel="0" collapsed="false">
      <c r="B11" s="32" t="s">
        <v>216</v>
      </c>
      <c r="C11" s="4" t="s">
        <v>217</v>
      </c>
      <c r="D11" s="39" t="n">
        <v>0.2</v>
      </c>
      <c r="E11" s="30" t="s">
        <v>211</v>
      </c>
      <c r="F11" s="4" t="s">
        <v>218</v>
      </c>
    </row>
    <row r="12" customFormat="false" ht="27.75" hidden="false" customHeight="true" outlineLevel="0" collapsed="false">
      <c r="B12" s="32" t="s">
        <v>219</v>
      </c>
      <c r="C12" s="4" t="s">
        <v>220</v>
      </c>
      <c r="D12" s="39" t="n">
        <v>0.6</v>
      </c>
      <c r="E12" s="30" t="s">
        <v>211</v>
      </c>
      <c r="F12" s="4" t="s">
        <v>221</v>
      </c>
    </row>
    <row r="13" customFormat="false" ht="27.75" hidden="false" customHeight="true" outlineLevel="0" collapsed="false">
      <c r="B13" s="32" t="s">
        <v>222</v>
      </c>
      <c r="C13" s="4" t="s">
        <v>223</v>
      </c>
      <c r="D13" s="39" t="n">
        <v>0.1</v>
      </c>
      <c r="E13" s="30" t="s">
        <v>211</v>
      </c>
      <c r="F13" s="4" t="s">
        <v>224</v>
      </c>
    </row>
    <row r="14" customFormat="false" ht="27.75" hidden="false" customHeight="true" outlineLevel="0" collapsed="false">
      <c r="B14" s="32" t="s">
        <v>225</v>
      </c>
      <c r="C14" s="4" t="s">
        <v>226</v>
      </c>
      <c r="D14" s="39" t="n">
        <v>0.15</v>
      </c>
      <c r="E14" s="30" t="s">
        <v>211</v>
      </c>
      <c r="F14" s="4" t="s">
        <v>227</v>
      </c>
    </row>
    <row r="15" customFormat="false" ht="27.75" hidden="false" customHeight="true" outlineLevel="0" collapsed="false">
      <c r="B15" s="32" t="s">
        <v>228</v>
      </c>
      <c r="C15" s="4" t="s">
        <v>229</v>
      </c>
      <c r="D15" s="39" t="n">
        <v>0.3</v>
      </c>
      <c r="E15" s="30" t="s">
        <v>211</v>
      </c>
      <c r="F15" s="4" t="s">
        <v>230</v>
      </c>
    </row>
    <row r="16" customFormat="false" ht="15" hidden="false" customHeight="false" outlineLevel="0" collapsed="false">
      <c r="B16" s="36" t="s">
        <v>231</v>
      </c>
      <c r="C16" s="36"/>
      <c r="D16" s="36"/>
      <c r="E16" s="36"/>
      <c r="F16" s="36"/>
    </row>
    <row r="17" customFormat="false" ht="27.75" hidden="false" customHeight="true" outlineLevel="0" collapsed="false">
      <c r="B17" s="32" t="s">
        <v>232</v>
      </c>
      <c r="C17" s="4" t="s">
        <v>233</v>
      </c>
      <c r="D17" s="39" t="n">
        <v>0.7</v>
      </c>
      <c r="E17" s="30" t="s">
        <v>206</v>
      </c>
      <c r="F17" s="4" t="s">
        <v>234</v>
      </c>
    </row>
    <row r="18" customFormat="false" ht="27.75" hidden="false" customHeight="true" outlineLevel="0" collapsed="false">
      <c r="B18" s="32" t="s">
        <v>235</v>
      </c>
      <c r="C18" s="4" t="s">
        <v>236</v>
      </c>
      <c r="D18" s="39" t="n">
        <v>0.6</v>
      </c>
      <c r="E18" s="30" t="s">
        <v>206</v>
      </c>
      <c r="F18" s="4" t="s">
        <v>237</v>
      </c>
    </row>
    <row r="19" customFormat="false" ht="27.75" hidden="false" customHeight="true" outlineLevel="0" collapsed="false">
      <c r="B19" s="32" t="s">
        <v>238</v>
      </c>
      <c r="C19" s="4" t="s">
        <v>239</v>
      </c>
      <c r="D19" s="39" t="n">
        <v>0.85</v>
      </c>
      <c r="E19" s="30" t="s">
        <v>206</v>
      </c>
      <c r="F19" s="4" t="s">
        <v>240</v>
      </c>
    </row>
    <row r="20" customFormat="false" ht="15" hidden="false" customHeight="false" outlineLevel="0" collapsed="false">
      <c r="B20" s="36" t="s">
        <v>241</v>
      </c>
      <c r="C20" s="36"/>
      <c r="D20" s="36"/>
      <c r="E20" s="36"/>
      <c r="F20" s="36"/>
    </row>
    <row r="21" customFormat="false" ht="27.75" hidden="false" customHeight="true" outlineLevel="0" collapsed="false">
      <c r="B21" s="32" t="s">
        <v>242</v>
      </c>
      <c r="C21" s="4" t="s">
        <v>243</v>
      </c>
      <c r="D21" s="39" t="n">
        <v>0.1</v>
      </c>
      <c r="E21" s="30" t="s">
        <v>211</v>
      </c>
      <c r="F21" s="4" t="s">
        <v>244</v>
      </c>
    </row>
    <row r="22" customFormat="false" ht="27.75" hidden="false" customHeight="true" outlineLevel="0" collapsed="false">
      <c r="B22" s="32" t="s">
        <v>245</v>
      </c>
      <c r="C22" s="4" t="s">
        <v>246</v>
      </c>
      <c r="D22" s="39" t="n">
        <v>0.12</v>
      </c>
      <c r="E22" s="30" t="s">
        <v>247</v>
      </c>
      <c r="F22" s="4" t="s">
        <v>248</v>
      </c>
    </row>
    <row r="23" customFormat="false" ht="27.75" hidden="false" customHeight="true" outlineLevel="0" collapsed="false">
      <c r="B23" s="32" t="s">
        <v>249</v>
      </c>
      <c r="C23" s="4" t="s">
        <v>250</v>
      </c>
      <c r="D23" s="39" t="n">
        <v>0.3</v>
      </c>
      <c r="E23" s="30" t="s">
        <v>211</v>
      </c>
      <c r="F23" s="4" t="s">
        <v>251</v>
      </c>
    </row>
    <row r="24" customFormat="false" ht="27.75" hidden="false" customHeight="true" outlineLevel="0" collapsed="false">
      <c r="B24" s="32" t="s">
        <v>252</v>
      </c>
      <c r="C24" s="4" t="s">
        <v>253</v>
      </c>
      <c r="D24" s="39" t="n">
        <v>0.5</v>
      </c>
      <c r="E24" s="30" t="s">
        <v>254</v>
      </c>
      <c r="F24" s="4" t="s">
        <v>255</v>
      </c>
    </row>
    <row r="25" customFormat="false" ht="27.75" hidden="false" customHeight="true" outlineLevel="0" collapsed="false">
      <c r="B25" s="32" t="s">
        <v>256</v>
      </c>
      <c r="C25" s="4" t="s">
        <v>257</v>
      </c>
      <c r="D25" s="39" t="n">
        <v>0.03</v>
      </c>
      <c r="E25" s="30" t="s">
        <v>247</v>
      </c>
      <c r="F25" s="4" t="s">
        <v>258</v>
      </c>
    </row>
    <row r="26" customFormat="false" ht="27.75" hidden="false" customHeight="true" outlineLevel="0" collapsed="false">
      <c r="B26" s="32" t="s">
        <v>259</v>
      </c>
      <c r="C26" s="4" t="s">
        <v>260</v>
      </c>
      <c r="D26" s="39" t="n">
        <v>0.2</v>
      </c>
      <c r="E26" s="30" t="s">
        <v>247</v>
      </c>
      <c r="F26" s="4" t="s">
        <v>261</v>
      </c>
    </row>
    <row r="27" customFormat="false" ht="15" hidden="false" customHeight="false" outlineLevel="0" collapsed="false">
      <c r="B27" s="36" t="s">
        <v>262</v>
      </c>
      <c r="C27" s="36"/>
      <c r="D27" s="36"/>
      <c r="E27" s="36"/>
      <c r="F27" s="36"/>
    </row>
    <row r="28" customFormat="false" ht="27.75" hidden="false" customHeight="true" outlineLevel="0" collapsed="false">
      <c r="B28" s="32" t="s">
        <v>263</v>
      </c>
      <c r="C28" s="4" t="s">
        <v>264</v>
      </c>
      <c r="D28" s="39" t="n">
        <v>1.2</v>
      </c>
      <c r="E28" s="30" t="s">
        <v>247</v>
      </c>
      <c r="F28" s="4" t="s">
        <v>265</v>
      </c>
    </row>
    <row r="29" customFormat="false" ht="27.75" hidden="false" customHeight="true" outlineLevel="0" collapsed="false">
      <c r="B29" s="32" t="s">
        <v>266</v>
      </c>
      <c r="C29" s="4" t="s">
        <v>267</v>
      </c>
      <c r="D29" s="39" t="n">
        <v>0.6</v>
      </c>
      <c r="E29" s="30" t="s">
        <v>247</v>
      </c>
      <c r="F29" s="4" t="s">
        <v>268</v>
      </c>
    </row>
    <row r="30" customFormat="false" ht="27.75" hidden="false" customHeight="true" outlineLevel="0" collapsed="false">
      <c r="B30" s="32" t="s">
        <v>269</v>
      </c>
      <c r="C30" s="4" t="s">
        <v>270</v>
      </c>
      <c r="D30" s="39" t="n">
        <v>0.25</v>
      </c>
      <c r="E30" s="30" t="s">
        <v>247</v>
      </c>
      <c r="F30" s="4" t="s">
        <v>271</v>
      </c>
    </row>
    <row r="31" customFormat="false" ht="27.75" hidden="false" customHeight="true" outlineLevel="0" collapsed="false">
      <c r="B31" s="32" t="s">
        <v>272</v>
      </c>
      <c r="C31" s="4" t="s">
        <v>273</v>
      </c>
      <c r="D31" s="39" t="n">
        <v>0.35</v>
      </c>
      <c r="E31" s="30" t="s">
        <v>247</v>
      </c>
      <c r="F31" s="4" t="s">
        <v>274</v>
      </c>
    </row>
    <row r="32" customFormat="false" ht="27.75" hidden="false" customHeight="true" outlineLevel="0" collapsed="false">
      <c r="B32" s="32" t="s">
        <v>275</v>
      </c>
      <c r="C32" s="4" t="s">
        <v>276</v>
      </c>
      <c r="D32" s="39" t="n">
        <v>0.2</v>
      </c>
      <c r="E32" s="30" t="s">
        <v>247</v>
      </c>
      <c r="F32" s="4" t="s">
        <v>277</v>
      </c>
    </row>
    <row r="33" customFormat="false" ht="27.75" hidden="false" customHeight="true" outlineLevel="0" collapsed="false">
      <c r="B33" s="32" t="s">
        <v>278</v>
      </c>
      <c r="C33" s="4" t="s">
        <v>279</v>
      </c>
      <c r="D33" s="39" t="n">
        <v>0.5</v>
      </c>
      <c r="E33" s="30" t="s">
        <v>247</v>
      </c>
      <c r="F33" s="4" t="s">
        <v>280</v>
      </c>
    </row>
    <row r="34" customFormat="false" ht="15" hidden="false" customHeight="false" outlineLevel="0" collapsed="false">
      <c r="B34" s="36" t="s">
        <v>281</v>
      </c>
      <c r="C34" s="36"/>
      <c r="D34" s="36"/>
      <c r="E34" s="36"/>
      <c r="F34" s="36"/>
    </row>
    <row r="35" customFormat="false" ht="27.75" hidden="false" customHeight="true" outlineLevel="0" collapsed="false">
      <c r="B35" s="32" t="s">
        <v>282</v>
      </c>
      <c r="C35" s="4" t="s">
        <v>283</v>
      </c>
      <c r="D35" s="39" t="n">
        <v>0.5</v>
      </c>
      <c r="E35" s="30" t="s">
        <v>247</v>
      </c>
      <c r="F35" s="4" t="s">
        <v>284</v>
      </c>
    </row>
    <row r="36" customFormat="false" ht="27.75" hidden="false" customHeight="true" outlineLevel="0" collapsed="false">
      <c r="B36" s="32" t="s">
        <v>285</v>
      </c>
      <c r="C36" s="4" t="s">
        <v>286</v>
      </c>
      <c r="D36" s="39" t="n">
        <v>0.5</v>
      </c>
      <c r="E36" s="30" t="s">
        <v>206</v>
      </c>
      <c r="F36" s="4" t="s">
        <v>287</v>
      </c>
    </row>
    <row r="37" customFormat="false" ht="27.75" hidden="false" customHeight="true" outlineLevel="0" collapsed="false">
      <c r="B37" s="32" t="s">
        <v>288</v>
      </c>
      <c r="C37" s="4" t="s">
        <v>289</v>
      </c>
      <c r="D37" s="39" t="n">
        <v>0.065</v>
      </c>
      <c r="E37" s="30" t="s">
        <v>206</v>
      </c>
      <c r="F37" s="4" t="s">
        <v>290</v>
      </c>
    </row>
    <row r="38" customFormat="false" ht="27.75" hidden="false" customHeight="true" outlineLevel="0" collapsed="false">
      <c r="B38" s="32" t="s">
        <v>291</v>
      </c>
      <c r="C38" s="4" t="s">
        <v>292</v>
      </c>
      <c r="D38" s="39" t="n">
        <v>1</v>
      </c>
      <c r="E38" s="30" t="s">
        <v>293</v>
      </c>
      <c r="F38" s="4" t="s">
        <v>294</v>
      </c>
    </row>
    <row r="39" customFormat="false" ht="15" hidden="false" customHeight="false" outlineLevel="0" collapsed="false">
      <c r="B39" s="36" t="s">
        <v>295</v>
      </c>
      <c r="C39" s="36"/>
      <c r="D39" s="36"/>
      <c r="E39" s="36"/>
      <c r="F39" s="36"/>
    </row>
    <row r="40" customFormat="false" ht="27.75" hidden="false" customHeight="true" outlineLevel="0" collapsed="false">
      <c r="B40" s="32" t="s">
        <v>296</v>
      </c>
      <c r="C40" s="4" t="s">
        <v>297</v>
      </c>
      <c r="D40" s="39" t="n">
        <v>1.5</v>
      </c>
      <c r="E40" s="30" t="s">
        <v>211</v>
      </c>
      <c r="F40" s="4" t="s">
        <v>298</v>
      </c>
    </row>
    <row r="41" customFormat="false" ht="27.75" hidden="false" customHeight="true" outlineLevel="0" collapsed="false">
      <c r="B41" s="32" t="s">
        <v>299</v>
      </c>
      <c r="C41" s="4" t="s">
        <v>300</v>
      </c>
      <c r="D41" s="39" t="n">
        <v>0.3</v>
      </c>
      <c r="E41" s="30" t="s">
        <v>206</v>
      </c>
      <c r="F41" s="4" t="s">
        <v>301</v>
      </c>
    </row>
    <row r="42" customFormat="false" ht="27.75" hidden="false" customHeight="true" outlineLevel="0" collapsed="false">
      <c r="B42" s="32" t="s">
        <v>302</v>
      </c>
      <c r="C42" s="4" t="s">
        <v>303</v>
      </c>
      <c r="D42" s="38" t="n">
        <v>60</v>
      </c>
      <c r="E42" s="30" t="s">
        <v>304</v>
      </c>
      <c r="F42" s="4" t="s">
        <v>305</v>
      </c>
    </row>
    <row r="43" customFormat="false" ht="27.75" hidden="false" customHeight="true" outlineLevel="0" collapsed="false">
      <c r="B43" s="32" t="s">
        <v>306</v>
      </c>
      <c r="C43" s="4" t="s">
        <v>307</v>
      </c>
      <c r="D43" s="39" t="n">
        <v>0.5</v>
      </c>
      <c r="E43" s="30" t="s">
        <v>206</v>
      </c>
      <c r="F43" s="4" t="s">
        <v>308</v>
      </c>
    </row>
    <row r="44" customFormat="false" ht="15" hidden="false" customHeight="false" outlineLevel="0" collapsed="false">
      <c r="B44" s="36" t="s">
        <v>309</v>
      </c>
      <c r="C44" s="36"/>
      <c r="D44" s="36"/>
      <c r="E44" s="36"/>
      <c r="F44" s="36"/>
    </row>
    <row r="45" customFormat="false" ht="27.75" hidden="false" customHeight="true" outlineLevel="0" collapsed="false">
      <c r="B45" s="32" t="s">
        <v>310</v>
      </c>
      <c r="C45" s="4" t="s">
        <v>311</v>
      </c>
      <c r="D45" s="39" t="n">
        <v>0.5</v>
      </c>
      <c r="E45" s="30" t="s">
        <v>211</v>
      </c>
      <c r="F45" s="4" t="s">
        <v>312</v>
      </c>
    </row>
    <row r="46" customFormat="false" ht="27.75" hidden="false" customHeight="true" outlineLevel="0" collapsed="false">
      <c r="B46" s="32" t="s">
        <v>313</v>
      </c>
      <c r="C46" s="4" t="s">
        <v>314</v>
      </c>
      <c r="D46" s="38" t="n">
        <v>6400</v>
      </c>
      <c r="E46" s="30" t="s">
        <v>315</v>
      </c>
      <c r="F46" s="4" t="s">
        <v>316</v>
      </c>
    </row>
    <row r="47" customFormat="false" ht="27.75" hidden="false" customHeight="true" outlineLevel="0" collapsed="false">
      <c r="B47" s="32" t="s">
        <v>317</v>
      </c>
      <c r="C47" s="4" t="s">
        <v>318</v>
      </c>
      <c r="D47" s="39" t="n">
        <v>0.7</v>
      </c>
      <c r="E47" s="30" t="s">
        <v>247</v>
      </c>
      <c r="F47" s="4" t="s">
        <v>319</v>
      </c>
    </row>
    <row r="48" customFormat="false" ht="27.75" hidden="false" customHeight="true" outlineLevel="0" collapsed="false">
      <c r="B48" s="32" t="s">
        <v>320</v>
      </c>
      <c r="C48" s="4" t="s">
        <v>321</v>
      </c>
      <c r="D48" s="39" t="n">
        <v>2</v>
      </c>
      <c r="E48" s="30" t="s">
        <v>247</v>
      </c>
      <c r="F48" s="4" t="s">
        <v>322</v>
      </c>
    </row>
    <row r="49" customFormat="false" ht="27.75" hidden="false" customHeight="true" outlineLevel="0" collapsed="false">
      <c r="B49" s="32" t="s">
        <v>323</v>
      </c>
      <c r="C49" s="4" t="s">
        <v>324</v>
      </c>
      <c r="D49" s="39" t="n">
        <v>0.15</v>
      </c>
      <c r="E49" s="30" t="s">
        <v>247</v>
      </c>
      <c r="F49" s="4" t="s">
        <v>325</v>
      </c>
    </row>
    <row r="50" customFormat="false" ht="27.75" hidden="false" customHeight="true" outlineLevel="0" collapsed="false">
      <c r="B50" s="32" t="s">
        <v>326</v>
      </c>
      <c r="C50" s="4" t="s">
        <v>327</v>
      </c>
      <c r="D50" s="39" t="n">
        <v>0.3</v>
      </c>
      <c r="E50" s="30" t="s">
        <v>247</v>
      </c>
      <c r="F50" s="4" t="s">
        <v>328</v>
      </c>
    </row>
    <row r="51" customFormat="false" ht="27.75" hidden="false" customHeight="true" outlineLevel="0" collapsed="false">
      <c r="B51" s="32" t="s">
        <v>329</v>
      </c>
      <c r="C51" s="4" t="s">
        <v>330</v>
      </c>
      <c r="D51" s="39" t="n">
        <v>0.5</v>
      </c>
      <c r="E51" s="30" t="s">
        <v>331</v>
      </c>
      <c r="F51" s="4" t="s">
        <v>332</v>
      </c>
    </row>
    <row r="52" customFormat="false" ht="27.75" hidden="false" customHeight="true" outlineLevel="0" collapsed="false">
      <c r="B52" s="32" t="s">
        <v>333</v>
      </c>
      <c r="C52" s="4" t="s">
        <v>334</v>
      </c>
      <c r="D52" s="39" t="n">
        <v>0.4</v>
      </c>
      <c r="E52" s="30" t="s">
        <v>331</v>
      </c>
      <c r="F52" s="4" t="s">
        <v>335</v>
      </c>
    </row>
    <row r="53" customFormat="false" ht="15" hidden="false" customHeight="false" outlineLevel="0" collapsed="false">
      <c r="B53" s="36" t="s">
        <v>336</v>
      </c>
      <c r="C53" s="36"/>
      <c r="D53" s="36"/>
      <c r="E53" s="36"/>
      <c r="F53" s="36"/>
    </row>
    <row r="54" customFormat="false" ht="27.75" hidden="false" customHeight="true" outlineLevel="0" collapsed="false">
      <c r="B54" s="32" t="s">
        <v>337</v>
      </c>
      <c r="C54" s="4" t="s">
        <v>338</v>
      </c>
      <c r="D54" s="39" t="n">
        <v>1</v>
      </c>
      <c r="E54" s="30" t="s">
        <v>254</v>
      </c>
      <c r="F54" s="4" t="s">
        <v>339</v>
      </c>
    </row>
  </sheetData>
  <mergeCells count="9">
    <mergeCell ref="B6:F6"/>
    <mergeCell ref="B8:F8"/>
    <mergeCell ref="B16:F16"/>
    <mergeCell ref="B20:F20"/>
    <mergeCell ref="B27:F27"/>
    <mergeCell ref="B34:F34"/>
    <mergeCell ref="B39:F39"/>
    <mergeCell ref="B44:F44"/>
    <mergeCell ref="B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C1"/>
    <pageSetUpPr fitToPage="false"/>
  </sheetPr>
  <dimension ref="B2:H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4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6"/>
  </cols>
  <sheetData>
    <row r="2" customFormat="false" ht="18.55" hidden="false" customHeight="false" outlineLevel="0" collapsed="false">
      <c r="B2" s="1" t="s">
        <v>340</v>
      </c>
    </row>
    <row r="3" customFormat="false" ht="15" hidden="false" customHeight="false" outlineLevel="0" collapsed="false">
      <c r="B3" s="2" t="s">
        <v>341</v>
      </c>
    </row>
    <row r="5" customFormat="false" ht="15" hidden="false" customHeight="false" outlineLevel="0" collapsed="false">
      <c r="B5" s="40" t="s">
        <v>342</v>
      </c>
      <c r="C5" s="41"/>
      <c r="D5" s="41"/>
      <c r="E5" s="41"/>
      <c r="F5" s="41"/>
      <c r="G5" s="41"/>
      <c r="H5" s="41"/>
    </row>
    <row r="6" customFormat="false" ht="42" hidden="false" customHeight="true" outlineLevel="0" collapsed="false">
      <c r="B6" s="42" t="s">
        <v>343</v>
      </c>
      <c r="C6" s="42"/>
      <c r="D6" s="42"/>
      <c r="E6" s="42"/>
      <c r="F6" s="42"/>
      <c r="G6" s="42"/>
      <c r="H6" s="42"/>
    </row>
    <row r="7" customFormat="false" ht="15" hidden="false" customHeight="false" outlineLevel="0" collapsed="false">
      <c r="B7" s="11" t="s">
        <v>344</v>
      </c>
      <c r="C7" s="11" t="s">
        <v>109</v>
      </c>
      <c r="D7" s="11" t="s">
        <v>99</v>
      </c>
      <c r="E7" s="11" t="s">
        <v>100</v>
      </c>
      <c r="F7" s="11" t="s">
        <v>101</v>
      </c>
      <c r="G7" s="11" t="s">
        <v>102</v>
      </c>
      <c r="H7" s="11" t="s">
        <v>107</v>
      </c>
    </row>
    <row r="8" customFormat="false" ht="15" hidden="false" customHeight="false" outlineLevel="0" collapsed="false">
      <c r="B8" s="21" t="s">
        <v>345</v>
      </c>
      <c r="C8" s="43" t="n">
        <v>0</v>
      </c>
      <c r="D8" s="44" t="n">
        <v>0</v>
      </c>
      <c r="E8" s="44" t="n">
        <v>0</v>
      </c>
      <c r="F8" s="44" t="n">
        <v>0</v>
      </c>
      <c r="G8" s="44" t="n">
        <v>0</v>
      </c>
      <c r="H8" s="30" t="s">
        <v>254</v>
      </c>
    </row>
    <row r="9" customFormat="false" ht="15" hidden="false" customHeight="false" outlineLevel="0" collapsed="false">
      <c r="B9" s="21" t="s">
        <v>346</v>
      </c>
      <c r="C9" s="43" t="n">
        <v>0</v>
      </c>
      <c r="D9" s="44" t="n">
        <v>0</v>
      </c>
      <c r="E9" s="44" t="n">
        <v>0</v>
      </c>
      <c r="F9" s="44" t="n">
        <v>0</v>
      </c>
      <c r="G9" s="44" t="n">
        <v>0</v>
      </c>
      <c r="H9" s="30" t="s">
        <v>254</v>
      </c>
    </row>
    <row r="10" customFormat="false" ht="15" hidden="false" customHeight="false" outlineLevel="0" collapsed="false">
      <c r="B10" s="21" t="s">
        <v>347</v>
      </c>
      <c r="C10" s="43" t="n">
        <v>0</v>
      </c>
      <c r="D10" s="44" t="n">
        <v>0</v>
      </c>
      <c r="E10" s="44" t="n">
        <v>0</v>
      </c>
      <c r="F10" s="44" t="n">
        <v>0</v>
      </c>
      <c r="G10" s="44" t="n">
        <v>0</v>
      </c>
      <c r="H10" s="30" t="s">
        <v>254</v>
      </c>
    </row>
    <row r="11" customFormat="false" ht="15" hidden="false" customHeight="false" outlineLevel="0" collapsed="false">
      <c r="B11" s="21" t="s">
        <v>348</v>
      </c>
      <c r="C11" s="43" t="n">
        <v>0</v>
      </c>
      <c r="D11" s="44" t="n">
        <v>0</v>
      </c>
      <c r="E11" s="44" t="n">
        <v>0</v>
      </c>
      <c r="F11" s="44" t="n">
        <v>0</v>
      </c>
      <c r="G11" s="44" t="n">
        <v>0</v>
      </c>
      <c r="H11" s="30" t="s">
        <v>254</v>
      </c>
    </row>
    <row r="12" customFormat="false" ht="15" hidden="false" customHeight="false" outlineLevel="0" collapsed="false">
      <c r="B12" s="21" t="s">
        <v>349</v>
      </c>
      <c r="C12" s="43" t="n">
        <v>0</v>
      </c>
      <c r="D12" s="44" t="n">
        <v>0</v>
      </c>
      <c r="E12" s="44" t="n">
        <v>0</v>
      </c>
      <c r="F12" s="44" t="n">
        <v>0</v>
      </c>
      <c r="G12" s="44" t="n">
        <v>0</v>
      </c>
      <c r="H12" s="30" t="s">
        <v>254</v>
      </c>
    </row>
    <row r="13" customFormat="false" ht="15" hidden="false" customHeight="false" outlineLevel="0" collapsed="false">
      <c r="B13" s="21" t="s">
        <v>350</v>
      </c>
      <c r="C13" s="43" t="n">
        <v>0</v>
      </c>
      <c r="D13" s="44" t="n">
        <v>0</v>
      </c>
      <c r="E13" s="44" t="n">
        <v>0</v>
      </c>
      <c r="F13" s="44" t="n">
        <v>0</v>
      </c>
      <c r="G13" s="44" t="n">
        <v>0</v>
      </c>
      <c r="H13" s="30" t="s">
        <v>254</v>
      </c>
    </row>
    <row r="14" customFormat="false" ht="15" hidden="false" customHeight="false" outlineLevel="0" collapsed="false">
      <c r="B14" s="21" t="s">
        <v>351</v>
      </c>
      <c r="C14" s="43" t="n">
        <v>0</v>
      </c>
      <c r="D14" s="44" t="n">
        <v>0</v>
      </c>
      <c r="E14" s="44" t="n">
        <v>0</v>
      </c>
      <c r="F14" s="44" t="n">
        <v>0</v>
      </c>
      <c r="G14" s="44" t="n">
        <v>0</v>
      </c>
      <c r="H14" s="30" t="s">
        <v>254</v>
      </c>
    </row>
    <row r="15" customFormat="false" ht="15" hidden="false" customHeight="false" outlineLevel="0" collapsed="false">
      <c r="B15" s="21" t="s">
        <v>352</v>
      </c>
      <c r="C15" s="43" t="n">
        <v>0</v>
      </c>
      <c r="D15" s="44" t="n">
        <v>0</v>
      </c>
      <c r="E15" s="44" t="n">
        <v>0</v>
      </c>
      <c r="F15" s="44" t="n">
        <v>0</v>
      </c>
      <c r="G15" s="44" t="n">
        <v>0</v>
      </c>
      <c r="H15" s="30" t="s">
        <v>353</v>
      </c>
    </row>
    <row r="16" customFormat="false" ht="15" hidden="false" customHeight="false" outlineLevel="0" collapsed="false">
      <c r="B16" s="21" t="s">
        <v>354</v>
      </c>
      <c r="C16" s="43" t="n">
        <v>0</v>
      </c>
      <c r="D16" s="44" t="n">
        <v>0</v>
      </c>
      <c r="E16" s="44" t="n">
        <v>0</v>
      </c>
      <c r="F16" s="44" t="n">
        <v>0</v>
      </c>
      <c r="G16" s="44" t="n">
        <v>0</v>
      </c>
      <c r="H16" s="30" t="s">
        <v>355</v>
      </c>
    </row>
    <row r="17" customFormat="false" ht="15" hidden="false" customHeight="false" outlineLevel="0" collapsed="false">
      <c r="B17" s="21" t="s">
        <v>356</v>
      </c>
      <c r="C17" s="43" t="n">
        <v>0</v>
      </c>
      <c r="D17" s="44" t="n">
        <v>0</v>
      </c>
      <c r="E17" s="44" t="n">
        <v>0</v>
      </c>
      <c r="F17" s="44" t="n">
        <v>0</v>
      </c>
      <c r="G17" s="44" t="n">
        <v>0</v>
      </c>
      <c r="H17" s="30" t="s">
        <v>353</v>
      </c>
    </row>
    <row r="18" customFormat="false" ht="15" hidden="false" customHeight="false" outlineLevel="0" collapsed="false">
      <c r="B18" s="21" t="s">
        <v>357</v>
      </c>
      <c r="C18" s="43" t="n">
        <v>0</v>
      </c>
      <c r="D18" s="33" t="n">
        <v>0</v>
      </c>
      <c r="E18" s="33" t="n">
        <v>0</v>
      </c>
      <c r="F18" s="33" t="n">
        <v>0</v>
      </c>
      <c r="G18" s="33" t="n">
        <v>0</v>
      </c>
      <c r="H18" s="30" t="s">
        <v>140</v>
      </c>
    </row>
    <row r="19" customFormat="false" ht="15" hidden="false" customHeight="false" outlineLevel="0" collapsed="false">
      <c r="B19" s="21" t="s">
        <v>358</v>
      </c>
      <c r="C19" s="43" t="n">
        <v>0</v>
      </c>
      <c r="D19" s="33" t="n">
        <v>0</v>
      </c>
      <c r="E19" s="33" t="n">
        <v>0</v>
      </c>
      <c r="F19" s="33" t="n">
        <v>0</v>
      </c>
      <c r="G19" s="33" t="n">
        <v>0</v>
      </c>
      <c r="H19" s="30" t="s">
        <v>140</v>
      </c>
    </row>
    <row r="20" customFormat="false" ht="25.5" hidden="false" customHeight="true" outlineLevel="0" collapsed="false">
      <c r="B20" s="4" t="s">
        <v>359</v>
      </c>
      <c r="D20" s="45" t="n">
        <v>0</v>
      </c>
    </row>
    <row r="23" customFormat="false" ht="15" hidden="false" customHeight="false" outlineLevel="0" collapsed="false">
      <c r="B23" s="46" t="s">
        <v>360</v>
      </c>
      <c r="C23" s="47"/>
      <c r="D23" s="47"/>
      <c r="E23" s="47"/>
      <c r="F23" s="47"/>
      <c r="G23" s="47"/>
      <c r="H23" s="47"/>
    </row>
    <row r="24" customFormat="false" ht="42" hidden="false" customHeight="true" outlineLevel="0" collapsed="false">
      <c r="B24" s="42" t="s">
        <v>361</v>
      </c>
      <c r="C24" s="42"/>
      <c r="D24" s="42"/>
      <c r="E24" s="42"/>
      <c r="F24" s="42"/>
      <c r="G24" s="42"/>
      <c r="H24" s="42"/>
    </row>
    <row r="25" customFormat="false" ht="15" hidden="false" customHeight="false" outlineLevel="0" collapsed="false">
      <c r="B25" s="11" t="s">
        <v>344</v>
      </c>
      <c r="C25" s="11" t="s">
        <v>109</v>
      </c>
      <c r="D25" s="11" t="s">
        <v>99</v>
      </c>
      <c r="E25" s="11" t="s">
        <v>100</v>
      </c>
      <c r="F25" s="11" t="s">
        <v>101</v>
      </c>
      <c r="G25" s="11" t="s">
        <v>102</v>
      </c>
      <c r="H25" s="11" t="s">
        <v>107</v>
      </c>
    </row>
    <row r="26" customFormat="false" ht="15" hidden="false" customHeight="false" outlineLevel="0" collapsed="false">
      <c r="B26" s="21" t="s">
        <v>345</v>
      </c>
      <c r="C26" s="43" t="n">
        <v>0</v>
      </c>
      <c r="D26" s="44" t="n">
        <v>0.5</v>
      </c>
      <c r="E26" s="44" t="n">
        <v>1</v>
      </c>
      <c r="F26" s="44" t="n">
        <v>0.8</v>
      </c>
      <c r="G26" s="44" t="n">
        <v>0.5</v>
      </c>
      <c r="H26" s="30" t="s">
        <v>254</v>
      </c>
    </row>
    <row r="27" customFormat="false" ht="15" hidden="false" customHeight="false" outlineLevel="0" collapsed="false">
      <c r="B27" s="21" t="s">
        <v>346</v>
      </c>
      <c r="C27" s="43" t="n">
        <v>0</v>
      </c>
      <c r="D27" s="44" t="n">
        <v>0</v>
      </c>
      <c r="E27" s="44" t="n">
        <v>0</v>
      </c>
      <c r="F27" s="44" t="n">
        <v>0</v>
      </c>
      <c r="G27" s="44" t="n">
        <v>0</v>
      </c>
      <c r="H27" s="30" t="s">
        <v>254</v>
      </c>
    </row>
    <row r="28" customFormat="false" ht="15" hidden="false" customHeight="false" outlineLevel="0" collapsed="false">
      <c r="B28" s="21" t="s">
        <v>347</v>
      </c>
      <c r="C28" s="43" t="n">
        <v>0</v>
      </c>
      <c r="D28" s="44" t="n">
        <v>0</v>
      </c>
      <c r="E28" s="44" t="n">
        <v>0</v>
      </c>
      <c r="F28" s="44" t="n">
        <v>0</v>
      </c>
      <c r="G28" s="44" t="n">
        <v>0</v>
      </c>
      <c r="H28" s="30" t="s">
        <v>254</v>
      </c>
    </row>
    <row r="29" customFormat="false" ht="15" hidden="false" customHeight="false" outlineLevel="0" collapsed="false">
      <c r="B29" s="21" t="s">
        <v>348</v>
      </c>
      <c r="C29" s="43" t="n">
        <v>0</v>
      </c>
      <c r="D29" s="44" t="n">
        <v>0</v>
      </c>
      <c r="E29" s="44" t="n">
        <v>0</v>
      </c>
      <c r="F29" s="44" t="n">
        <v>0</v>
      </c>
      <c r="G29" s="44" t="n">
        <v>0</v>
      </c>
      <c r="H29" s="30" t="s">
        <v>254</v>
      </c>
    </row>
    <row r="30" customFormat="false" ht="15" hidden="false" customHeight="false" outlineLevel="0" collapsed="false">
      <c r="B30" s="21" t="s">
        <v>349</v>
      </c>
      <c r="C30" s="43" t="n">
        <v>0</v>
      </c>
      <c r="D30" s="44" t="n">
        <v>0</v>
      </c>
      <c r="E30" s="44" t="n">
        <v>0</v>
      </c>
      <c r="F30" s="44" t="n">
        <v>0</v>
      </c>
      <c r="G30" s="44" t="n">
        <v>0</v>
      </c>
      <c r="H30" s="30" t="s">
        <v>254</v>
      </c>
    </row>
    <row r="31" customFormat="false" ht="15" hidden="false" customHeight="false" outlineLevel="0" collapsed="false">
      <c r="B31" s="21" t="s">
        <v>350</v>
      </c>
      <c r="C31" s="43" t="n">
        <v>0</v>
      </c>
      <c r="D31" s="44" t="n">
        <v>0</v>
      </c>
      <c r="E31" s="44" t="n">
        <v>0</v>
      </c>
      <c r="F31" s="44" t="n">
        <v>0</v>
      </c>
      <c r="G31" s="44" t="n">
        <v>0</v>
      </c>
      <c r="H31" s="30" t="s">
        <v>254</v>
      </c>
    </row>
    <row r="32" customFormat="false" ht="15" hidden="false" customHeight="false" outlineLevel="0" collapsed="false">
      <c r="B32" s="21" t="s">
        <v>351</v>
      </c>
      <c r="C32" s="43" t="n">
        <v>0</v>
      </c>
      <c r="D32" s="44" t="n">
        <v>0</v>
      </c>
      <c r="E32" s="44" t="n">
        <v>0</v>
      </c>
      <c r="F32" s="44" t="n">
        <v>0</v>
      </c>
      <c r="G32" s="44" t="n">
        <v>0</v>
      </c>
      <c r="H32" s="30" t="s">
        <v>254</v>
      </c>
    </row>
    <row r="33" customFormat="false" ht="15" hidden="false" customHeight="false" outlineLevel="0" collapsed="false">
      <c r="B33" s="21" t="s">
        <v>352</v>
      </c>
      <c r="C33" s="43" t="n">
        <v>0</v>
      </c>
      <c r="D33" s="44" t="n">
        <v>0</v>
      </c>
      <c r="E33" s="44" t="n">
        <v>0</v>
      </c>
      <c r="F33" s="44" t="n">
        <v>0</v>
      </c>
      <c r="G33" s="44" t="n">
        <v>0</v>
      </c>
      <c r="H33" s="30" t="s">
        <v>353</v>
      </c>
    </row>
    <row r="34" customFormat="false" ht="15" hidden="false" customHeight="false" outlineLevel="0" collapsed="false">
      <c r="B34" s="21" t="s">
        <v>354</v>
      </c>
      <c r="C34" s="43" t="n">
        <v>0</v>
      </c>
      <c r="D34" s="44" t="n">
        <v>0</v>
      </c>
      <c r="E34" s="44" t="n">
        <v>0</v>
      </c>
      <c r="F34" s="44" t="n">
        <v>0</v>
      </c>
      <c r="G34" s="44" t="n">
        <v>0</v>
      </c>
      <c r="H34" s="30" t="s">
        <v>355</v>
      </c>
    </row>
    <row r="35" customFormat="false" ht="15" hidden="false" customHeight="false" outlineLevel="0" collapsed="false">
      <c r="B35" s="21" t="s">
        <v>356</v>
      </c>
      <c r="C35" s="43" t="n">
        <v>0</v>
      </c>
      <c r="D35" s="44" t="n">
        <v>0</v>
      </c>
      <c r="E35" s="44" t="n">
        <v>0</v>
      </c>
      <c r="F35" s="44" t="n">
        <v>0</v>
      </c>
      <c r="G35" s="44" t="n">
        <v>0</v>
      </c>
      <c r="H35" s="30" t="s">
        <v>353</v>
      </c>
    </row>
    <row r="36" customFormat="false" ht="15" hidden="false" customHeight="false" outlineLevel="0" collapsed="false">
      <c r="B36" s="21" t="s">
        <v>357</v>
      </c>
      <c r="C36" s="43" t="n">
        <v>0</v>
      </c>
      <c r="D36" s="33" t="n">
        <v>100</v>
      </c>
      <c r="E36" s="33" t="n">
        <v>500</v>
      </c>
      <c r="F36" s="33" t="n">
        <v>400</v>
      </c>
      <c r="G36" s="33" t="n">
        <v>200</v>
      </c>
      <c r="H36" s="30" t="s">
        <v>140</v>
      </c>
    </row>
    <row r="37" customFormat="false" ht="15" hidden="false" customHeight="false" outlineLevel="0" collapsed="false">
      <c r="B37" s="21" t="s">
        <v>358</v>
      </c>
      <c r="C37" s="43" t="n">
        <v>0</v>
      </c>
      <c r="D37" s="33" t="n">
        <v>0</v>
      </c>
      <c r="E37" s="33" t="n">
        <v>0</v>
      </c>
      <c r="F37" s="33" t="n">
        <v>0</v>
      </c>
      <c r="G37" s="33" t="n">
        <v>0</v>
      </c>
      <c r="H37" s="30" t="s">
        <v>140</v>
      </c>
    </row>
    <row r="38" customFormat="false" ht="25.5" hidden="false" customHeight="true" outlineLevel="0" collapsed="false">
      <c r="B38" s="4" t="s">
        <v>359</v>
      </c>
      <c r="D38" s="45" t="n">
        <v>0</v>
      </c>
    </row>
    <row r="41" customFormat="false" ht="15" hidden="false" customHeight="false" outlineLevel="0" collapsed="false">
      <c r="B41" s="46" t="s">
        <v>362</v>
      </c>
      <c r="C41" s="47"/>
      <c r="D41" s="47"/>
      <c r="E41" s="47"/>
      <c r="F41" s="47"/>
      <c r="G41" s="47"/>
      <c r="H41" s="47"/>
    </row>
    <row r="42" customFormat="false" ht="42" hidden="false" customHeight="true" outlineLevel="0" collapsed="false">
      <c r="B42" s="42" t="s">
        <v>363</v>
      </c>
      <c r="C42" s="42"/>
      <c r="D42" s="42"/>
      <c r="E42" s="42"/>
      <c r="F42" s="42"/>
      <c r="G42" s="42"/>
      <c r="H42" s="42"/>
    </row>
    <row r="43" customFormat="false" ht="15" hidden="false" customHeight="false" outlineLevel="0" collapsed="false">
      <c r="B43" s="11" t="s">
        <v>344</v>
      </c>
      <c r="C43" s="11" t="s">
        <v>109</v>
      </c>
      <c r="D43" s="11" t="s">
        <v>99</v>
      </c>
      <c r="E43" s="11" t="s">
        <v>100</v>
      </c>
      <c r="F43" s="11" t="s">
        <v>101</v>
      </c>
      <c r="G43" s="11" t="s">
        <v>102</v>
      </c>
      <c r="H43" s="11" t="s">
        <v>107</v>
      </c>
    </row>
    <row r="44" customFormat="false" ht="15" hidden="false" customHeight="false" outlineLevel="0" collapsed="false">
      <c r="B44" s="21" t="s">
        <v>345</v>
      </c>
      <c r="C44" s="43" t="n">
        <v>0</v>
      </c>
      <c r="D44" s="44" t="n">
        <v>0</v>
      </c>
      <c r="E44" s="44" t="n">
        <v>0</v>
      </c>
      <c r="F44" s="44" t="n">
        <v>0</v>
      </c>
      <c r="G44" s="44" t="n">
        <v>0</v>
      </c>
      <c r="H44" s="30" t="s">
        <v>254</v>
      </c>
    </row>
    <row r="45" customFormat="false" ht="15" hidden="false" customHeight="false" outlineLevel="0" collapsed="false">
      <c r="B45" s="21" t="s">
        <v>346</v>
      </c>
      <c r="C45" s="43" t="n">
        <v>0</v>
      </c>
      <c r="D45" s="44" t="n">
        <v>0</v>
      </c>
      <c r="E45" s="44" t="n">
        <v>0</v>
      </c>
      <c r="F45" s="44" t="n">
        <v>0</v>
      </c>
      <c r="G45" s="44" t="n">
        <v>0</v>
      </c>
      <c r="H45" s="30" t="s">
        <v>254</v>
      </c>
    </row>
    <row r="46" customFormat="false" ht="15" hidden="false" customHeight="false" outlineLevel="0" collapsed="false">
      <c r="B46" s="21" t="s">
        <v>347</v>
      </c>
      <c r="C46" s="43" t="n">
        <v>0</v>
      </c>
      <c r="D46" s="44" t="n">
        <v>0</v>
      </c>
      <c r="E46" s="44" t="n">
        <v>0</v>
      </c>
      <c r="F46" s="44" t="n">
        <v>0</v>
      </c>
      <c r="G46" s="44" t="n">
        <v>0</v>
      </c>
      <c r="H46" s="30" t="s">
        <v>254</v>
      </c>
    </row>
    <row r="47" customFormat="false" ht="15" hidden="false" customHeight="false" outlineLevel="0" collapsed="false">
      <c r="B47" s="21" t="s">
        <v>348</v>
      </c>
      <c r="C47" s="43" t="n">
        <v>0</v>
      </c>
      <c r="D47" s="44" t="n">
        <v>0</v>
      </c>
      <c r="E47" s="44" t="n">
        <v>0</v>
      </c>
      <c r="F47" s="44" t="n">
        <v>0</v>
      </c>
      <c r="G47" s="44" t="n">
        <v>0</v>
      </c>
      <c r="H47" s="30" t="s">
        <v>254</v>
      </c>
    </row>
    <row r="48" customFormat="false" ht="15" hidden="false" customHeight="false" outlineLevel="0" collapsed="false">
      <c r="B48" s="21" t="s">
        <v>349</v>
      </c>
      <c r="C48" s="43" t="n">
        <v>0</v>
      </c>
      <c r="D48" s="44" t="n">
        <v>0</v>
      </c>
      <c r="E48" s="44" t="n">
        <v>0</v>
      </c>
      <c r="F48" s="44" t="n">
        <v>0</v>
      </c>
      <c r="G48" s="44" t="n">
        <v>0</v>
      </c>
      <c r="H48" s="30" t="s">
        <v>254</v>
      </c>
    </row>
    <row r="49" customFormat="false" ht="15" hidden="false" customHeight="false" outlineLevel="0" collapsed="false">
      <c r="B49" s="21" t="s">
        <v>350</v>
      </c>
      <c r="C49" s="43" t="n">
        <v>0</v>
      </c>
      <c r="D49" s="44" t="n">
        <v>0</v>
      </c>
      <c r="E49" s="44" t="n">
        <v>0</v>
      </c>
      <c r="F49" s="44" t="n">
        <v>0</v>
      </c>
      <c r="G49" s="44" t="n">
        <v>0</v>
      </c>
      <c r="H49" s="30" t="s">
        <v>254</v>
      </c>
    </row>
    <row r="50" customFormat="false" ht="15" hidden="false" customHeight="false" outlineLevel="0" collapsed="false">
      <c r="B50" s="21" t="s">
        <v>351</v>
      </c>
      <c r="C50" s="43" t="n">
        <v>0</v>
      </c>
      <c r="D50" s="44" t="n">
        <v>0</v>
      </c>
      <c r="E50" s="44" t="n">
        <v>0</v>
      </c>
      <c r="F50" s="44" t="n">
        <v>0</v>
      </c>
      <c r="G50" s="44" t="n">
        <v>0</v>
      </c>
      <c r="H50" s="30" t="s">
        <v>254</v>
      </c>
    </row>
    <row r="51" customFormat="false" ht="15" hidden="false" customHeight="false" outlineLevel="0" collapsed="false">
      <c r="B51" s="21" t="s">
        <v>352</v>
      </c>
      <c r="C51" s="43" t="n">
        <v>0</v>
      </c>
      <c r="D51" s="44" t="n">
        <v>0</v>
      </c>
      <c r="E51" s="44" t="n">
        <v>1.5</v>
      </c>
      <c r="F51" s="44" t="n">
        <v>1</v>
      </c>
      <c r="G51" s="44" t="n">
        <v>0.5</v>
      </c>
      <c r="H51" s="30" t="s">
        <v>353</v>
      </c>
    </row>
    <row r="52" customFormat="false" ht="15" hidden="false" customHeight="false" outlineLevel="0" collapsed="false">
      <c r="B52" s="21" t="s">
        <v>354</v>
      </c>
      <c r="C52" s="43" t="n">
        <v>0</v>
      </c>
      <c r="D52" s="44" t="n">
        <v>1</v>
      </c>
      <c r="E52" s="44" t="n">
        <v>4</v>
      </c>
      <c r="F52" s="44" t="n">
        <v>4</v>
      </c>
      <c r="G52" s="44" t="n">
        <v>3</v>
      </c>
      <c r="H52" s="30" t="s">
        <v>355</v>
      </c>
    </row>
    <row r="53" customFormat="false" ht="15" hidden="false" customHeight="false" outlineLevel="0" collapsed="false">
      <c r="B53" s="21" t="s">
        <v>356</v>
      </c>
      <c r="C53" s="43" t="n">
        <v>0</v>
      </c>
      <c r="D53" s="44" t="n">
        <v>0</v>
      </c>
      <c r="E53" s="44" t="n">
        <v>0</v>
      </c>
      <c r="F53" s="44" t="n">
        <v>0</v>
      </c>
      <c r="G53" s="44" t="n">
        <v>0</v>
      </c>
      <c r="H53" s="30" t="s">
        <v>353</v>
      </c>
    </row>
    <row r="54" customFormat="false" ht="15" hidden="false" customHeight="false" outlineLevel="0" collapsed="false">
      <c r="B54" s="21" t="s">
        <v>357</v>
      </c>
      <c r="C54" s="43" t="n">
        <v>0</v>
      </c>
      <c r="D54" s="33" t="n">
        <v>0</v>
      </c>
      <c r="E54" s="33" t="n">
        <v>0</v>
      </c>
      <c r="F54" s="33" t="n">
        <v>0</v>
      </c>
      <c r="G54" s="33" t="n">
        <v>0</v>
      </c>
      <c r="H54" s="30" t="s">
        <v>140</v>
      </c>
    </row>
    <row r="55" customFormat="false" ht="15" hidden="false" customHeight="false" outlineLevel="0" collapsed="false">
      <c r="B55" s="21" t="s">
        <v>358</v>
      </c>
      <c r="C55" s="43" t="n">
        <v>0</v>
      </c>
      <c r="D55" s="33" t="n">
        <v>0</v>
      </c>
      <c r="E55" s="33" t="n">
        <v>0</v>
      </c>
      <c r="F55" s="33" t="n">
        <v>0</v>
      </c>
      <c r="G55" s="33" t="n">
        <v>0</v>
      </c>
      <c r="H55" s="30" t="s">
        <v>140</v>
      </c>
    </row>
    <row r="56" customFormat="false" ht="25.5" hidden="false" customHeight="true" outlineLevel="0" collapsed="false">
      <c r="B56" s="4" t="s">
        <v>359</v>
      </c>
      <c r="D56" s="45" t="n">
        <v>0</v>
      </c>
    </row>
    <row r="59" customFormat="false" ht="15" hidden="false" customHeight="false" outlineLevel="0" collapsed="false">
      <c r="B59" s="46" t="s">
        <v>364</v>
      </c>
      <c r="C59" s="47"/>
      <c r="D59" s="47"/>
      <c r="E59" s="47"/>
      <c r="F59" s="47"/>
      <c r="G59" s="47"/>
      <c r="H59" s="47"/>
    </row>
    <row r="60" customFormat="false" ht="42" hidden="false" customHeight="true" outlineLevel="0" collapsed="false">
      <c r="B60" s="42" t="s">
        <v>365</v>
      </c>
      <c r="C60" s="42"/>
      <c r="D60" s="42"/>
      <c r="E60" s="42"/>
      <c r="F60" s="42"/>
      <c r="G60" s="42"/>
      <c r="H60" s="42"/>
    </row>
    <row r="61" customFormat="false" ht="15" hidden="false" customHeight="false" outlineLevel="0" collapsed="false">
      <c r="B61" s="11" t="s">
        <v>344</v>
      </c>
      <c r="C61" s="11" t="s">
        <v>109</v>
      </c>
      <c r="D61" s="11" t="s">
        <v>99</v>
      </c>
      <c r="E61" s="11" t="s">
        <v>100</v>
      </c>
      <c r="F61" s="11" t="s">
        <v>101</v>
      </c>
      <c r="G61" s="11" t="s">
        <v>102</v>
      </c>
      <c r="H61" s="11" t="s">
        <v>107</v>
      </c>
    </row>
    <row r="62" customFormat="false" ht="15" hidden="false" customHeight="false" outlineLevel="0" collapsed="false">
      <c r="B62" s="21" t="s">
        <v>345</v>
      </c>
      <c r="C62" s="43" t="n">
        <v>0</v>
      </c>
      <c r="D62" s="44" t="n">
        <v>0</v>
      </c>
      <c r="E62" s="44" t="n">
        <v>0</v>
      </c>
      <c r="F62" s="44" t="n">
        <v>0</v>
      </c>
      <c r="G62" s="44" t="n">
        <v>0</v>
      </c>
      <c r="H62" s="30" t="s">
        <v>254</v>
      </c>
    </row>
    <row r="63" customFormat="false" ht="15" hidden="false" customHeight="false" outlineLevel="0" collapsed="false">
      <c r="B63" s="21" t="s">
        <v>346</v>
      </c>
      <c r="C63" s="43" t="n">
        <v>0</v>
      </c>
      <c r="D63" s="44" t="n">
        <v>0</v>
      </c>
      <c r="E63" s="44" t="n">
        <v>0</v>
      </c>
      <c r="F63" s="44" t="n">
        <v>0</v>
      </c>
      <c r="G63" s="44" t="n">
        <v>0</v>
      </c>
      <c r="H63" s="30" t="s">
        <v>254</v>
      </c>
    </row>
    <row r="64" customFormat="false" ht="15" hidden="false" customHeight="false" outlineLevel="0" collapsed="false">
      <c r="B64" s="21" t="s">
        <v>347</v>
      </c>
      <c r="C64" s="43" t="n">
        <v>0</v>
      </c>
      <c r="D64" s="44" t="n">
        <v>0</v>
      </c>
      <c r="E64" s="44" t="n">
        <v>0</v>
      </c>
      <c r="F64" s="44" t="n">
        <v>0</v>
      </c>
      <c r="G64" s="44" t="n">
        <v>0</v>
      </c>
      <c r="H64" s="30" t="s">
        <v>254</v>
      </c>
    </row>
    <row r="65" customFormat="false" ht="15" hidden="false" customHeight="false" outlineLevel="0" collapsed="false">
      <c r="B65" s="21" t="s">
        <v>348</v>
      </c>
      <c r="C65" s="43" t="n">
        <v>0</v>
      </c>
      <c r="D65" s="44" t="n">
        <v>0</v>
      </c>
      <c r="E65" s="44" t="n">
        <v>0</v>
      </c>
      <c r="F65" s="44" t="n">
        <v>0</v>
      </c>
      <c r="G65" s="44" t="n">
        <v>0</v>
      </c>
      <c r="H65" s="30" t="s">
        <v>254</v>
      </c>
    </row>
    <row r="66" customFormat="false" ht="15" hidden="false" customHeight="false" outlineLevel="0" collapsed="false">
      <c r="B66" s="21" t="s">
        <v>349</v>
      </c>
      <c r="C66" s="43" t="n">
        <v>0</v>
      </c>
      <c r="D66" s="44" t="n">
        <v>0</v>
      </c>
      <c r="E66" s="44" t="n">
        <v>0</v>
      </c>
      <c r="F66" s="44" t="n">
        <v>0</v>
      </c>
      <c r="G66" s="44" t="n">
        <v>0</v>
      </c>
      <c r="H66" s="30" t="s">
        <v>254</v>
      </c>
    </row>
    <row r="67" customFormat="false" ht="15" hidden="false" customHeight="false" outlineLevel="0" collapsed="false">
      <c r="B67" s="21" t="s">
        <v>350</v>
      </c>
      <c r="C67" s="43" t="n">
        <v>0</v>
      </c>
      <c r="D67" s="44" t="n">
        <v>0</v>
      </c>
      <c r="E67" s="44" t="n">
        <v>0</v>
      </c>
      <c r="F67" s="44" t="n">
        <v>0</v>
      </c>
      <c r="G67" s="44" t="n">
        <v>0</v>
      </c>
      <c r="H67" s="30" t="s">
        <v>254</v>
      </c>
    </row>
    <row r="68" customFormat="false" ht="15" hidden="false" customHeight="false" outlineLevel="0" collapsed="false">
      <c r="B68" s="21" t="s">
        <v>351</v>
      </c>
      <c r="C68" s="43" t="n">
        <v>0</v>
      </c>
      <c r="D68" s="44" t="n">
        <v>0</v>
      </c>
      <c r="E68" s="44" t="n">
        <v>0</v>
      </c>
      <c r="F68" s="44" t="n">
        <v>0</v>
      </c>
      <c r="G68" s="44" t="n">
        <v>0</v>
      </c>
      <c r="H68" s="30" t="s">
        <v>254</v>
      </c>
    </row>
    <row r="69" customFormat="false" ht="15" hidden="false" customHeight="false" outlineLevel="0" collapsed="false">
      <c r="B69" s="21" t="s">
        <v>352</v>
      </c>
      <c r="C69" s="43" t="n">
        <v>0</v>
      </c>
      <c r="D69" s="44" t="n">
        <v>0</v>
      </c>
      <c r="E69" s="44" t="n">
        <v>0</v>
      </c>
      <c r="F69" s="44" t="n">
        <v>0</v>
      </c>
      <c r="G69" s="44" t="n">
        <v>0</v>
      </c>
      <c r="H69" s="30" t="s">
        <v>353</v>
      </c>
    </row>
    <row r="70" customFormat="false" ht="15" hidden="false" customHeight="false" outlineLevel="0" collapsed="false">
      <c r="B70" s="21" t="s">
        <v>354</v>
      </c>
      <c r="C70" s="43" t="n">
        <v>0</v>
      </c>
      <c r="D70" s="44" t="n">
        <v>0</v>
      </c>
      <c r="E70" s="44" t="n">
        <v>0</v>
      </c>
      <c r="F70" s="44" t="n">
        <v>0</v>
      </c>
      <c r="G70" s="44" t="n">
        <v>0</v>
      </c>
      <c r="H70" s="30" t="s">
        <v>355</v>
      </c>
    </row>
    <row r="71" customFormat="false" ht="15" hidden="false" customHeight="false" outlineLevel="0" collapsed="false">
      <c r="B71" s="21" t="s">
        <v>356</v>
      </c>
      <c r="C71" s="43" t="n">
        <v>0</v>
      </c>
      <c r="D71" s="44" t="n">
        <v>-2</v>
      </c>
      <c r="E71" s="44" t="n">
        <v>-4</v>
      </c>
      <c r="F71" s="44" t="n">
        <v>-2</v>
      </c>
      <c r="G71" s="44" t="n">
        <v>-1</v>
      </c>
      <c r="H71" s="30" t="s">
        <v>353</v>
      </c>
    </row>
    <row r="72" customFormat="false" ht="15" hidden="false" customHeight="false" outlineLevel="0" collapsed="false">
      <c r="B72" s="21" t="s">
        <v>357</v>
      </c>
      <c r="C72" s="43" t="n">
        <v>0</v>
      </c>
      <c r="D72" s="33" t="n">
        <v>0</v>
      </c>
      <c r="E72" s="33" t="n">
        <v>0</v>
      </c>
      <c r="F72" s="33" t="n">
        <v>0</v>
      </c>
      <c r="G72" s="33" t="n">
        <v>0</v>
      </c>
      <c r="H72" s="30" t="s">
        <v>140</v>
      </c>
    </row>
    <row r="73" customFormat="false" ht="15" hidden="false" customHeight="false" outlineLevel="0" collapsed="false">
      <c r="B73" s="21" t="s">
        <v>358</v>
      </c>
      <c r="C73" s="43" t="n">
        <v>0</v>
      </c>
      <c r="D73" s="33" t="n">
        <v>150</v>
      </c>
      <c r="E73" s="33" t="n">
        <v>500</v>
      </c>
      <c r="F73" s="33" t="n">
        <v>300</v>
      </c>
      <c r="G73" s="33" t="n">
        <v>200</v>
      </c>
      <c r="H73" s="30" t="s">
        <v>140</v>
      </c>
    </row>
    <row r="74" customFormat="false" ht="25.5" hidden="false" customHeight="true" outlineLevel="0" collapsed="false">
      <c r="B74" s="4" t="s">
        <v>359</v>
      </c>
      <c r="D74" s="45" t="n">
        <v>1</v>
      </c>
    </row>
    <row r="77" customFormat="false" ht="15" hidden="false" customHeight="false" outlineLevel="0" collapsed="false">
      <c r="B77" s="46" t="s">
        <v>366</v>
      </c>
      <c r="C77" s="47"/>
      <c r="D77" s="47"/>
      <c r="E77" s="47"/>
      <c r="F77" s="47"/>
      <c r="G77" s="47"/>
      <c r="H77" s="47"/>
    </row>
    <row r="78" customFormat="false" ht="42" hidden="false" customHeight="true" outlineLevel="0" collapsed="false">
      <c r="B78" s="42" t="s">
        <v>367</v>
      </c>
      <c r="C78" s="42"/>
      <c r="D78" s="42"/>
      <c r="E78" s="42"/>
      <c r="F78" s="42"/>
      <c r="G78" s="42"/>
      <c r="H78" s="42"/>
    </row>
    <row r="79" customFormat="false" ht="15" hidden="false" customHeight="false" outlineLevel="0" collapsed="false">
      <c r="B79" s="11" t="s">
        <v>344</v>
      </c>
      <c r="C79" s="11" t="s">
        <v>109</v>
      </c>
      <c r="D79" s="11" t="s">
        <v>99</v>
      </c>
      <c r="E79" s="11" t="s">
        <v>100</v>
      </c>
      <c r="F79" s="11" t="s">
        <v>101</v>
      </c>
      <c r="G79" s="11" t="s">
        <v>102</v>
      </c>
      <c r="H79" s="11" t="s">
        <v>107</v>
      </c>
    </row>
    <row r="80" customFormat="false" ht="15" hidden="false" customHeight="false" outlineLevel="0" collapsed="false">
      <c r="B80" s="21" t="s">
        <v>345</v>
      </c>
      <c r="C80" s="43" t="n">
        <v>0</v>
      </c>
      <c r="D80" s="44" t="n">
        <v>0</v>
      </c>
      <c r="E80" s="44" t="n">
        <v>0</v>
      </c>
      <c r="F80" s="44" t="n">
        <v>0</v>
      </c>
      <c r="G80" s="44" t="n">
        <v>0</v>
      </c>
      <c r="H80" s="30" t="s">
        <v>254</v>
      </c>
    </row>
    <row r="81" customFormat="false" ht="15" hidden="false" customHeight="false" outlineLevel="0" collapsed="false">
      <c r="B81" s="21" t="s">
        <v>346</v>
      </c>
      <c r="C81" s="43" t="n">
        <v>0</v>
      </c>
      <c r="D81" s="44" t="n">
        <v>0</v>
      </c>
      <c r="E81" s="44" t="n">
        <v>0</v>
      </c>
      <c r="F81" s="44" t="n">
        <v>0</v>
      </c>
      <c r="G81" s="44" t="n">
        <v>0</v>
      </c>
      <c r="H81" s="30" t="s">
        <v>254</v>
      </c>
    </row>
    <row r="82" customFormat="false" ht="15" hidden="false" customHeight="false" outlineLevel="0" collapsed="false">
      <c r="B82" s="21" t="s">
        <v>347</v>
      </c>
      <c r="C82" s="43" t="n">
        <v>0</v>
      </c>
      <c r="D82" s="44" t="n">
        <v>0</v>
      </c>
      <c r="E82" s="44" t="n">
        <v>0</v>
      </c>
      <c r="F82" s="44" t="n">
        <v>0</v>
      </c>
      <c r="G82" s="44" t="n">
        <v>0</v>
      </c>
      <c r="H82" s="30" t="s">
        <v>254</v>
      </c>
    </row>
    <row r="83" customFormat="false" ht="15" hidden="false" customHeight="false" outlineLevel="0" collapsed="false">
      <c r="B83" s="21" t="s">
        <v>348</v>
      </c>
      <c r="C83" s="43" t="n">
        <v>0</v>
      </c>
      <c r="D83" s="44" t="n">
        <v>0</v>
      </c>
      <c r="E83" s="44" t="n">
        <v>0</v>
      </c>
      <c r="F83" s="44" t="n">
        <v>0</v>
      </c>
      <c r="G83" s="44" t="n">
        <v>0</v>
      </c>
      <c r="H83" s="30" t="s">
        <v>254</v>
      </c>
    </row>
    <row r="84" customFormat="false" ht="15" hidden="false" customHeight="false" outlineLevel="0" collapsed="false">
      <c r="B84" s="21" t="s">
        <v>349</v>
      </c>
      <c r="C84" s="43" t="n">
        <v>0</v>
      </c>
      <c r="D84" s="44" t="n">
        <v>0.2</v>
      </c>
      <c r="E84" s="44" t="n">
        <v>0.5</v>
      </c>
      <c r="F84" s="44" t="n">
        <v>0.8</v>
      </c>
      <c r="G84" s="44" t="n">
        <v>1</v>
      </c>
      <c r="H84" s="30" t="s">
        <v>254</v>
      </c>
    </row>
    <row r="85" customFormat="false" ht="15" hidden="false" customHeight="false" outlineLevel="0" collapsed="false">
      <c r="B85" s="21" t="s">
        <v>350</v>
      </c>
      <c r="C85" s="43" t="n">
        <v>0</v>
      </c>
      <c r="D85" s="44" t="n">
        <v>0</v>
      </c>
      <c r="E85" s="44" t="n">
        <v>0.3</v>
      </c>
      <c r="F85" s="44" t="n">
        <v>0.5</v>
      </c>
      <c r="G85" s="44" t="n">
        <v>0.6</v>
      </c>
      <c r="H85" s="30" t="s">
        <v>254</v>
      </c>
    </row>
    <row r="86" customFormat="false" ht="15" hidden="false" customHeight="false" outlineLevel="0" collapsed="false">
      <c r="B86" s="21" t="s">
        <v>351</v>
      </c>
      <c r="C86" s="43" t="n">
        <v>0</v>
      </c>
      <c r="D86" s="44" t="n">
        <v>0</v>
      </c>
      <c r="E86" s="44" t="n">
        <v>0.4</v>
      </c>
      <c r="F86" s="44" t="n">
        <v>0.5</v>
      </c>
      <c r="G86" s="44" t="n">
        <v>0.5</v>
      </c>
      <c r="H86" s="30" t="s">
        <v>254</v>
      </c>
    </row>
    <row r="87" customFormat="false" ht="15" hidden="false" customHeight="false" outlineLevel="0" collapsed="false">
      <c r="B87" s="21" t="s">
        <v>352</v>
      </c>
      <c r="C87" s="43" t="n">
        <v>0</v>
      </c>
      <c r="D87" s="44" t="n">
        <v>0</v>
      </c>
      <c r="E87" s="44" t="n">
        <v>0</v>
      </c>
      <c r="F87" s="44" t="n">
        <v>0</v>
      </c>
      <c r="G87" s="44" t="n">
        <v>0</v>
      </c>
      <c r="H87" s="30" t="s">
        <v>353</v>
      </c>
    </row>
    <row r="88" customFormat="false" ht="15" hidden="false" customHeight="false" outlineLevel="0" collapsed="false">
      <c r="B88" s="21" t="s">
        <v>354</v>
      </c>
      <c r="C88" s="43" t="n">
        <v>0</v>
      </c>
      <c r="D88" s="44" t="n">
        <v>0</v>
      </c>
      <c r="E88" s="44" t="n">
        <v>0</v>
      </c>
      <c r="F88" s="44" t="n">
        <v>0</v>
      </c>
      <c r="G88" s="44" t="n">
        <v>0</v>
      </c>
      <c r="H88" s="30" t="s">
        <v>355</v>
      </c>
    </row>
    <row r="89" customFormat="false" ht="15" hidden="false" customHeight="false" outlineLevel="0" collapsed="false">
      <c r="B89" s="21" t="s">
        <v>356</v>
      </c>
      <c r="C89" s="43" t="n">
        <v>0</v>
      </c>
      <c r="D89" s="44" t="n">
        <v>0</v>
      </c>
      <c r="E89" s="44" t="n">
        <v>0</v>
      </c>
      <c r="F89" s="44" t="n">
        <v>0</v>
      </c>
      <c r="G89" s="44" t="n">
        <v>0</v>
      </c>
      <c r="H89" s="30" t="s">
        <v>353</v>
      </c>
    </row>
    <row r="90" customFormat="false" ht="15" hidden="false" customHeight="false" outlineLevel="0" collapsed="false">
      <c r="B90" s="21" t="s">
        <v>357</v>
      </c>
      <c r="C90" s="43" t="n">
        <v>0</v>
      </c>
      <c r="D90" s="33" t="n">
        <v>0</v>
      </c>
      <c r="E90" s="33" t="n">
        <v>0</v>
      </c>
      <c r="F90" s="33" t="n">
        <v>0</v>
      </c>
      <c r="G90" s="33" t="n">
        <v>0</v>
      </c>
      <c r="H90" s="30" t="s">
        <v>140</v>
      </c>
    </row>
    <row r="91" customFormat="false" ht="15" hidden="false" customHeight="false" outlineLevel="0" collapsed="false">
      <c r="B91" s="21" t="s">
        <v>358</v>
      </c>
      <c r="C91" s="43" t="n">
        <v>0</v>
      </c>
      <c r="D91" s="33" t="n">
        <v>0</v>
      </c>
      <c r="E91" s="33" t="n">
        <v>0</v>
      </c>
      <c r="F91" s="33" t="n">
        <v>0</v>
      </c>
      <c r="G91" s="33" t="n">
        <v>0</v>
      </c>
      <c r="H91" s="30" t="s">
        <v>140</v>
      </c>
    </row>
    <row r="92" customFormat="false" ht="25.5" hidden="false" customHeight="true" outlineLevel="0" collapsed="false">
      <c r="B92" s="4" t="s">
        <v>359</v>
      </c>
      <c r="D92" s="45" t="n">
        <v>0</v>
      </c>
    </row>
    <row r="95" customFormat="false" ht="15" hidden="false" customHeight="false" outlineLevel="0" collapsed="false">
      <c r="B95" s="46" t="s">
        <v>368</v>
      </c>
      <c r="C95" s="47"/>
      <c r="D95" s="47"/>
      <c r="E95" s="47"/>
      <c r="F95" s="47"/>
      <c r="G95" s="47"/>
      <c r="H95" s="47"/>
    </row>
    <row r="96" customFormat="false" ht="42" hidden="false" customHeight="true" outlineLevel="0" collapsed="false">
      <c r="B96" s="42" t="s">
        <v>369</v>
      </c>
      <c r="C96" s="42"/>
      <c r="D96" s="42"/>
      <c r="E96" s="42"/>
      <c r="F96" s="42"/>
      <c r="G96" s="42"/>
      <c r="H96" s="42"/>
    </row>
    <row r="97" customFormat="false" ht="15" hidden="false" customHeight="false" outlineLevel="0" collapsed="false">
      <c r="B97" s="11" t="s">
        <v>344</v>
      </c>
      <c r="C97" s="11" t="s">
        <v>109</v>
      </c>
      <c r="D97" s="11" t="s">
        <v>99</v>
      </c>
      <c r="E97" s="11" t="s">
        <v>100</v>
      </c>
      <c r="F97" s="11" t="s">
        <v>101</v>
      </c>
      <c r="G97" s="11" t="s">
        <v>102</v>
      </c>
      <c r="H97" s="11" t="s">
        <v>107</v>
      </c>
    </row>
    <row r="98" customFormat="false" ht="15" hidden="false" customHeight="false" outlineLevel="0" collapsed="false">
      <c r="B98" s="21" t="s">
        <v>345</v>
      </c>
      <c r="C98" s="43" t="n">
        <v>0</v>
      </c>
      <c r="D98" s="44" t="n">
        <v>0</v>
      </c>
      <c r="E98" s="44" t="n">
        <v>0</v>
      </c>
      <c r="F98" s="44" t="n">
        <v>0</v>
      </c>
      <c r="G98" s="44" t="n">
        <v>0</v>
      </c>
      <c r="H98" s="30" t="s">
        <v>254</v>
      </c>
    </row>
    <row r="99" customFormat="false" ht="15" hidden="false" customHeight="false" outlineLevel="0" collapsed="false">
      <c r="B99" s="21" t="s">
        <v>346</v>
      </c>
      <c r="C99" s="43" t="n">
        <v>0</v>
      </c>
      <c r="D99" s="44" t="n">
        <v>-0.2</v>
      </c>
      <c r="E99" s="44" t="n">
        <v>-0.4</v>
      </c>
      <c r="F99" s="44" t="n">
        <v>-0.3</v>
      </c>
      <c r="G99" s="44" t="n">
        <v>-0.2</v>
      </c>
      <c r="H99" s="30" t="s">
        <v>254</v>
      </c>
    </row>
    <row r="100" customFormat="false" ht="15" hidden="false" customHeight="false" outlineLevel="0" collapsed="false">
      <c r="B100" s="21" t="s">
        <v>347</v>
      </c>
      <c r="C100" s="43" t="n">
        <v>0</v>
      </c>
      <c r="D100" s="44" t="n">
        <v>0</v>
      </c>
      <c r="E100" s="44" t="n">
        <v>0.8</v>
      </c>
      <c r="F100" s="44" t="n">
        <v>0.3</v>
      </c>
      <c r="G100" s="44" t="n">
        <v>0</v>
      </c>
      <c r="H100" s="30" t="s">
        <v>254</v>
      </c>
    </row>
    <row r="101" customFormat="false" ht="15" hidden="false" customHeight="false" outlineLevel="0" collapsed="false">
      <c r="B101" s="21" t="s">
        <v>348</v>
      </c>
      <c r="C101" s="43" t="n">
        <v>0</v>
      </c>
      <c r="D101" s="44" t="n">
        <v>0.2</v>
      </c>
      <c r="E101" s="44" t="n">
        <v>0.4</v>
      </c>
      <c r="F101" s="44" t="n">
        <v>0.3</v>
      </c>
      <c r="G101" s="44" t="n">
        <v>0.2</v>
      </c>
      <c r="H101" s="30" t="s">
        <v>254</v>
      </c>
    </row>
    <row r="102" customFormat="false" ht="15" hidden="false" customHeight="false" outlineLevel="0" collapsed="false">
      <c r="B102" s="21" t="s">
        <v>349</v>
      </c>
      <c r="C102" s="43" t="n">
        <v>0</v>
      </c>
      <c r="D102" s="44" t="n">
        <v>0</v>
      </c>
      <c r="E102" s="44" t="n">
        <v>0</v>
      </c>
      <c r="F102" s="44" t="n">
        <v>0</v>
      </c>
      <c r="G102" s="44" t="n">
        <v>0</v>
      </c>
      <c r="H102" s="30" t="s">
        <v>254</v>
      </c>
    </row>
    <row r="103" customFormat="false" ht="15" hidden="false" customHeight="false" outlineLevel="0" collapsed="false">
      <c r="B103" s="21" t="s">
        <v>350</v>
      </c>
      <c r="C103" s="43" t="n">
        <v>0</v>
      </c>
      <c r="D103" s="44" t="n">
        <v>0</v>
      </c>
      <c r="E103" s="44" t="n">
        <v>0</v>
      </c>
      <c r="F103" s="44" t="n">
        <v>0</v>
      </c>
      <c r="G103" s="44" t="n">
        <v>0</v>
      </c>
      <c r="H103" s="30" t="s">
        <v>254</v>
      </c>
    </row>
    <row r="104" customFormat="false" ht="15" hidden="false" customHeight="false" outlineLevel="0" collapsed="false">
      <c r="B104" s="21" t="s">
        <v>351</v>
      </c>
      <c r="C104" s="43" t="n">
        <v>0</v>
      </c>
      <c r="D104" s="44" t="n">
        <v>0</v>
      </c>
      <c r="E104" s="44" t="n">
        <v>0</v>
      </c>
      <c r="F104" s="44" t="n">
        <v>0</v>
      </c>
      <c r="G104" s="44" t="n">
        <v>0</v>
      </c>
      <c r="H104" s="30" t="s">
        <v>254</v>
      </c>
    </row>
    <row r="105" customFormat="false" ht="15" hidden="false" customHeight="false" outlineLevel="0" collapsed="false">
      <c r="B105" s="21" t="s">
        <v>352</v>
      </c>
      <c r="C105" s="43" t="n">
        <v>0</v>
      </c>
      <c r="D105" s="44" t="n">
        <v>0</v>
      </c>
      <c r="E105" s="44" t="n">
        <v>0</v>
      </c>
      <c r="F105" s="44" t="n">
        <v>0</v>
      </c>
      <c r="G105" s="44" t="n">
        <v>0</v>
      </c>
      <c r="H105" s="30" t="s">
        <v>353</v>
      </c>
    </row>
    <row r="106" customFormat="false" ht="15" hidden="false" customHeight="false" outlineLevel="0" collapsed="false">
      <c r="B106" s="21" t="s">
        <v>354</v>
      </c>
      <c r="C106" s="43" t="n">
        <v>0</v>
      </c>
      <c r="D106" s="44" t="n">
        <v>0</v>
      </c>
      <c r="E106" s="44" t="n">
        <v>0</v>
      </c>
      <c r="F106" s="44" t="n">
        <v>0</v>
      </c>
      <c r="G106" s="44" t="n">
        <v>0</v>
      </c>
      <c r="H106" s="30" t="s">
        <v>355</v>
      </c>
    </row>
    <row r="107" customFormat="false" ht="15" hidden="false" customHeight="false" outlineLevel="0" collapsed="false">
      <c r="B107" s="21" t="s">
        <v>356</v>
      </c>
      <c r="C107" s="43" t="n">
        <v>0</v>
      </c>
      <c r="D107" s="44" t="n">
        <v>0</v>
      </c>
      <c r="E107" s="44" t="n">
        <v>0</v>
      </c>
      <c r="F107" s="44" t="n">
        <v>0</v>
      </c>
      <c r="G107" s="44" t="n">
        <v>0</v>
      </c>
      <c r="H107" s="30" t="s">
        <v>353</v>
      </c>
    </row>
    <row r="108" customFormat="false" ht="15" hidden="false" customHeight="false" outlineLevel="0" collapsed="false">
      <c r="B108" s="21" t="s">
        <v>357</v>
      </c>
      <c r="C108" s="43" t="n">
        <v>0</v>
      </c>
      <c r="D108" s="33" t="n">
        <v>0</v>
      </c>
      <c r="E108" s="33" t="n">
        <v>200</v>
      </c>
      <c r="F108" s="33" t="n">
        <v>100</v>
      </c>
      <c r="G108" s="33" t="n">
        <v>0</v>
      </c>
      <c r="H108" s="30" t="s">
        <v>140</v>
      </c>
    </row>
    <row r="109" customFormat="false" ht="15" hidden="false" customHeight="false" outlineLevel="0" collapsed="false">
      <c r="B109" s="21" t="s">
        <v>358</v>
      </c>
      <c r="C109" s="43" t="n">
        <v>0</v>
      </c>
      <c r="D109" s="33" t="n">
        <v>0</v>
      </c>
      <c r="E109" s="33" t="n">
        <v>0</v>
      </c>
      <c r="F109" s="33" t="n">
        <v>0</v>
      </c>
      <c r="G109" s="33" t="n">
        <v>0</v>
      </c>
      <c r="H109" s="30" t="s">
        <v>140</v>
      </c>
    </row>
    <row r="110" customFormat="false" ht="25.5" hidden="false" customHeight="true" outlineLevel="0" collapsed="false">
      <c r="B110" s="4" t="s">
        <v>359</v>
      </c>
      <c r="D110" s="45" t="n">
        <v>0</v>
      </c>
    </row>
    <row r="113" customFormat="false" ht="15" hidden="false" customHeight="false" outlineLevel="0" collapsed="false">
      <c r="B113" s="46" t="s">
        <v>370</v>
      </c>
      <c r="C113" s="47"/>
      <c r="D113" s="47"/>
      <c r="E113" s="47"/>
      <c r="F113" s="47"/>
      <c r="G113" s="47"/>
      <c r="H113" s="47"/>
    </row>
    <row r="114" customFormat="false" ht="42" hidden="false" customHeight="true" outlineLevel="0" collapsed="false">
      <c r="B114" s="42" t="s">
        <v>371</v>
      </c>
      <c r="C114" s="42"/>
      <c r="D114" s="42"/>
      <c r="E114" s="42"/>
      <c r="F114" s="42"/>
      <c r="G114" s="42"/>
      <c r="H114" s="42"/>
    </row>
    <row r="115" customFormat="false" ht="15" hidden="false" customHeight="false" outlineLevel="0" collapsed="false">
      <c r="B115" s="11" t="s">
        <v>344</v>
      </c>
      <c r="C115" s="11" t="s">
        <v>109</v>
      </c>
      <c r="D115" s="11" t="s">
        <v>99</v>
      </c>
      <c r="E115" s="11" t="s">
        <v>100</v>
      </c>
      <c r="F115" s="11" t="s">
        <v>101</v>
      </c>
      <c r="G115" s="11" t="s">
        <v>102</v>
      </c>
      <c r="H115" s="11" t="s">
        <v>107</v>
      </c>
    </row>
    <row r="116" customFormat="false" ht="15" hidden="false" customHeight="false" outlineLevel="0" collapsed="false">
      <c r="B116" s="21" t="s">
        <v>345</v>
      </c>
      <c r="C116" s="43" t="n">
        <v>0</v>
      </c>
      <c r="D116" s="44" t="n">
        <v>0</v>
      </c>
      <c r="E116" s="44" t="n">
        <v>0.6</v>
      </c>
      <c r="F116" s="44" t="n">
        <v>0.6</v>
      </c>
      <c r="G116" s="44" t="n">
        <v>0.4</v>
      </c>
      <c r="H116" s="30" t="s">
        <v>254</v>
      </c>
    </row>
    <row r="117" customFormat="false" ht="15" hidden="false" customHeight="false" outlineLevel="0" collapsed="false">
      <c r="B117" s="21" t="s">
        <v>346</v>
      </c>
      <c r="C117" s="43" t="n">
        <v>0</v>
      </c>
      <c r="D117" s="44" t="n">
        <v>0</v>
      </c>
      <c r="E117" s="44" t="n">
        <v>-0.4</v>
      </c>
      <c r="F117" s="44" t="n">
        <v>-0.5</v>
      </c>
      <c r="G117" s="44" t="n">
        <v>-0.4</v>
      </c>
      <c r="H117" s="30" t="s">
        <v>254</v>
      </c>
    </row>
    <row r="118" customFormat="false" ht="15" hidden="false" customHeight="false" outlineLevel="0" collapsed="false">
      <c r="B118" s="21" t="s">
        <v>347</v>
      </c>
      <c r="C118" s="43" t="n">
        <v>0</v>
      </c>
      <c r="D118" s="44" t="n">
        <v>0</v>
      </c>
      <c r="E118" s="44" t="n">
        <v>0.2</v>
      </c>
      <c r="F118" s="44" t="n">
        <v>0</v>
      </c>
      <c r="G118" s="44" t="n">
        <v>0</v>
      </c>
      <c r="H118" s="30" t="s">
        <v>254</v>
      </c>
    </row>
    <row r="119" customFormat="false" ht="15" hidden="false" customHeight="false" outlineLevel="0" collapsed="false">
      <c r="B119" s="21" t="s">
        <v>348</v>
      </c>
      <c r="C119" s="43" t="n">
        <v>0</v>
      </c>
      <c r="D119" s="44" t="n">
        <v>0</v>
      </c>
      <c r="E119" s="44" t="n">
        <v>0.25</v>
      </c>
      <c r="F119" s="44" t="n">
        <v>0.2</v>
      </c>
      <c r="G119" s="44" t="n">
        <v>0.15</v>
      </c>
      <c r="H119" s="30" t="s">
        <v>254</v>
      </c>
    </row>
    <row r="120" customFormat="false" ht="15" hidden="false" customHeight="false" outlineLevel="0" collapsed="false">
      <c r="B120" s="21" t="s">
        <v>349</v>
      </c>
      <c r="C120" s="43" t="n">
        <v>0</v>
      </c>
      <c r="D120" s="44" t="n">
        <v>0.1</v>
      </c>
      <c r="E120" s="44" t="n">
        <v>0.4</v>
      </c>
      <c r="F120" s="44" t="n">
        <v>0.6</v>
      </c>
      <c r="G120" s="44" t="n">
        <v>0.8</v>
      </c>
      <c r="H120" s="30" t="s">
        <v>254</v>
      </c>
    </row>
    <row r="121" customFormat="false" ht="15" hidden="false" customHeight="false" outlineLevel="0" collapsed="false">
      <c r="B121" s="21" t="s">
        <v>350</v>
      </c>
      <c r="C121" s="43" t="n">
        <v>0</v>
      </c>
      <c r="D121" s="44" t="n">
        <v>0</v>
      </c>
      <c r="E121" s="44" t="n">
        <v>0.15</v>
      </c>
      <c r="F121" s="44" t="n">
        <v>0.3</v>
      </c>
      <c r="G121" s="44" t="n">
        <v>0.4</v>
      </c>
      <c r="H121" s="30" t="s">
        <v>254</v>
      </c>
    </row>
    <row r="122" customFormat="false" ht="15" hidden="false" customHeight="false" outlineLevel="0" collapsed="false">
      <c r="B122" s="21" t="s">
        <v>351</v>
      </c>
      <c r="C122" s="43" t="n">
        <v>0</v>
      </c>
      <c r="D122" s="44" t="n">
        <v>0</v>
      </c>
      <c r="E122" s="44" t="n">
        <v>0.3</v>
      </c>
      <c r="F122" s="44" t="n">
        <v>0.4</v>
      </c>
      <c r="G122" s="44" t="n">
        <v>0.4</v>
      </c>
      <c r="H122" s="30" t="s">
        <v>254</v>
      </c>
    </row>
    <row r="123" customFormat="false" ht="15" hidden="false" customHeight="false" outlineLevel="0" collapsed="false">
      <c r="B123" s="21" t="s">
        <v>352</v>
      </c>
      <c r="C123" s="43" t="n">
        <v>0</v>
      </c>
      <c r="D123" s="44" t="n">
        <v>0</v>
      </c>
      <c r="E123" s="44" t="n">
        <v>0.5</v>
      </c>
      <c r="F123" s="44" t="n">
        <v>0</v>
      </c>
      <c r="G123" s="44" t="n">
        <v>0</v>
      </c>
      <c r="H123" s="30" t="s">
        <v>353</v>
      </c>
    </row>
    <row r="124" customFormat="false" ht="15" hidden="false" customHeight="false" outlineLevel="0" collapsed="false">
      <c r="B124" s="21" t="s">
        <v>354</v>
      </c>
      <c r="C124" s="43" t="n">
        <v>0</v>
      </c>
      <c r="D124" s="44" t="n">
        <v>1</v>
      </c>
      <c r="E124" s="44" t="n">
        <v>3</v>
      </c>
      <c r="F124" s="44" t="n">
        <v>3</v>
      </c>
      <c r="G124" s="44" t="n">
        <v>2</v>
      </c>
      <c r="H124" s="30" t="s">
        <v>355</v>
      </c>
    </row>
    <row r="125" customFormat="false" ht="15" hidden="false" customHeight="false" outlineLevel="0" collapsed="false">
      <c r="B125" s="21" t="s">
        <v>356</v>
      </c>
      <c r="C125" s="43" t="n">
        <v>0</v>
      </c>
      <c r="D125" s="44" t="n">
        <v>0</v>
      </c>
      <c r="E125" s="44" t="n">
        <v>-1</v>
      </c>
      <c r="F125" s="44" t="n">
        <v>-1</v>
      </c>
      <c r="G125" s="44" t="n">
        <v>-0.5</v>
      </c>
      <c r="H125" s="30" t="s">
        <v>353</v>
      </c>
    </row>
    <row r="126" customFormat="false" ht="15" hidden="false" customHeight="false" outlineLevel="0" collapsed="false">
      <c r="B126" s="21" t="s">
        <v>357</v>
      </c>
      <c r="C126" s="43" t="n">
        <v>0</v>
      </c>
      <c r="D126" s="33" t="n">
        <v>0</v>
      </c>
      <c r="E126" s="33" t="n">
        <v>300</v>
      </c>
      <c r="F126" s="33" t="n">
        <v>300</v>
      </c>
      <c r="G126" s="33" t="n">
        <v>100</v>
      </c>
      <c r="H126" s="30" t="s">
        <v>140</v>
      </c>
    </row>
    <row r="127" customFormat="false" ht="15" hidden="false" customHeight="false" outlineLevel="0" collapsed="false">
      <c r="B127" s="21" t="s">
        <v>358</v>
      </c>
      <c r="C127" s="43" t="n">
        <v>0</v>
      </c>
      <c r="D127" s="33" t="n">
        <v>0</v>
      </c>
      <c r="E127" s="33" t="n">
        <v>150</v>
      </c>
      <c r="F127" s="33" t="n">
        <v>150</v>
      </c>
      <c r="G127" s="33" t="n">
        <v>100</v>
      </c>
      <c r="H127" s="30" t="s">
        <v>140</v>
      </c>
    </row>
    <row r="128" customFormat="false" ht="25.5" hidden="false" customHeight="true" outlineLevel="0" collapsed="false">
      <c r="B128" s="4" t="s">
        <v>359</v>
      </c>
      <c r="D128" s="45" t="n">
        <v>0.5</v>
      </c>
    </row>
  </sheetData>
  <mergeCells count="7">
    <mergeCell ref="B6:H6"/>
    <mergeCell ref="B24:H24"/>
    <mergeCell ref="B42:H42"/>
    <mergeCell ref="B60:H60"/>
    <mergeCell ref="B78:H78"/>
    <mergeCell ref="B96:H96"/>
    <mergeCell ref="B114:H1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C1"/>
    <pageSetUpPr fitToPage="false"/>
  </sheetPr>
  <dimension ref="B2:H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8" min="4" style="0" width="12"/>
  </cols>
  <sheetData>
    <row r="2" customFormat="false" ht="18.55" hidden="false" customHeight="false" outlineLevel="0" collapsed="false">
      <c r="B2" s="1" t="s">
        <v>372</v>
      </c>
    </row>
    <row r="3" customFormat="false" ht="15" hidden="false" customHeight="false" outlineLevel="0" collapsed="false">
      <c r="B3" s="2" t="s">
        <v>373</v>
      </c>
    </row>
    <row r="5" customFormat="false" ht="15" hidden="false" customHeight="false" outlineLevel="0" collapsed="false">
      <c r="B5" s="40" t="s">
        <v>342</v>
      </c>
      <c r="C5" s="41"/>
      <c r="D5" s="41"/>
      <c r="E5" s="41"/>
      <c r="F5" s="41"/>
      <c r="G5" s="41"/>
      <c r="H5" s="41"/>
    </row>
    <row r="6" customFormat="false" ht="15" hidden="false" customHeight="false" outlineLevel="0" collapsed="false">
      <c r="B6" s="11" t="s">
        <v>374</v>
      </c>
      <c r="C6" s="11" t="s">
        <v>109</v>
      </c>
      <c r="D6" s="11" t="s">
        <v>99</v>
      </c>
      <c r="E6" s="11" t="s">
        <v>100</v>
      </c>
      <c r="F6" s="11" t="s">
        <v>101</v>
      </c>
      <c r="G6" s="11" t="s">
        <v>102</v>
      </c>
      <c r="H6" s="11" t="s">
        <v>107</v>
      </c>
    </row>
    <row r="7" customFormat="false" ht="15" hidden="false" customHeight="false" outlineLevel="0" collapsed="false">
      <c r="B7" s="48" t="s">
        <v>375</v>
      </c>
      <c r="C7" s="49"/>
      <c r="D7" s="49"/>
      <c r="E7" s="49"/>
      <c r="F7" s="49"/>
      <c r="G7" s="49"/>
      <c r="H7" s="49"/>
    </row>
    <row r="8" customFormat="false" ht="15" hidden="false" customHeight="false" outlineLevel="0" collapsed="false">
      <c r="B8" s="21" t="s">
        <v>376</v>
      </c>
      <c r="C8" s="50" t="n">
        <v>0</v>
      </c>
      <c r="D8" s="16" t="n">
        <f aca="false">Palancas!D8*ef26</f>
        <v>0</v>
      </c>
      <c r="E8" s="16" t="n">
        <f aca="false">Palancas!E8*1</f>
        <v>0</v>
      </c>
      <c r="F8" s="16" t="n">
        <f aca="false">Palancas!F8*1</f>
        <v>0</v>
      </c>
      <c r="G8" s="16" t="n">
        <f aca="false">Palancas!G8*1</f>
        <v>0</v>
      </c>
      <c r="H8" s="51" t="s">
        <v>254</v>
      </c>
    </row>
    <row r="9" customFormat="false" ht="15" hidden="false" customHeight="false" outlineLevel="0" collapsed="false">
      <c r="B9" s="21" t="s">
        <v>377</v>
      </c>
      <c r="C9" s="50" t="n">
        <v>0</v>
      </c>
      <c r="D9" s="16" t="n">
        <f aca="false">Palancas!D9*ef26</f>
        <v>0</v>
      </c>
      <c r="E9" s="16" t="n">
        <f aca="false">Palancas!E9*1</f>
        <v>0</v>
      </c>
      <c r="F9" s="16" t="n">
        <f aca="false">Palancas!F9*1</f>
        <v>0</v>
      </c>
      <c r="G9" s="16" t="n">
        <f aca="false">Palancas!G9*1</f>
        <v>0</v>
      </c>
      <c r="H9" s="51" t="s">
        <v>254</v>
      </c>
    </row>
    <row r="10" customFormat="false" ht="15" hidden="false" customHeight="false" outlineLevel="0" collapsed="false">
      <c r="B10" s="21" t="s">
        <v>378</v>
      </c>
      <c r="C10" s="50" t="n">
        <v>0</v>
      </c>
      <c r="D10" s="16" t="n">
        <f aca="false">Palancas!D10*ef26</f>
        <v>0</v>
      </c>
      <c r="E10" s="16" t="n">
        <f aca="false">Palancas!E10*1</f>
        <v>0</v>
      </c>
      <c r="F10" s="16" t="n">
        <f aca="false">Palancas!F10*1</f>
        <v>0</v>
      </c>
      <c r="G10" s="16" t="n">
        <f aca="false">Palancas!G10*1</f>
        <v>0</v>
      </c>
      <c r="H10" s="51" t="s">
        <v>254</v>
      </c>
    </row>
    <row r="11" customFormat="false" ht="15" hidden="false" customHeight="false" outlineLevel="0" collapsed="false">
      <c r="B11" s="21" t="s">
        <v>379</v>
      </c>
      <c r="C11" s="50" t="n">
        <v>0</v>
      </c>
      <c r="D11" s="16" t="n">
        <f aca="false">Palancas!D11*ef26</f>
        <v>0</v>
      </c>
      <c r="E11" s="16" t="n">
        <f aca="false">Palancas!E11*1</f>
        <v>0</v>
      </c>
      <c r="F11" s="16" t="n">
        <f aca="false">Palancas!F11*1</f>
        <v>0</v>
      </c>
      <c r="G11" s="16" t="n">
        <f aca="false">Palancas!G11*1</f>
        <v>0</v>
      </c>
      <c r="H11" s="51" t="s">
        <v>254</v>
      </c>
    </row>
    <row r="12" customFormat="false" ht="15" hidden="false" customHeight="false" outlineLevel="0" collapsed="false">
      <c r="B12" s="21" t="s">
        <v>380</v>
      </c>
      <c r="C12" s="50" t="n">
        <v>0</v>
      </c>
      <c r="D12" s="16" t="n">
        <f aca="false">Palancas!D12*ef26*r_tev</f>
        <v>0</v>
      </c>
      <c r="E12" s="16" t="n">
        <f aca="false">Palancas!E12*1*r_tev</f>
        <v>0</v>
      </c>
      <c r="F12" s="16" t="n">
        <f aca="false">Palancas!F12*1*r_tev</f>
        <v>0</v>
      </c>
      <c r="G12" s="16" t="n">
        <f aca="false">Palancas!G12*1*r_tev</f>
        <v>0</v>
      </c>
      <c r="H12" s="51" t="s">
        <v>254</v>
      </c>
    </row>
    <row r="13" customFormat="false" ht="15" hidden="false" customHeight="false" outlineLevel="0" collapsed="false">
      <c r="B13" s="21" t="s">
        <v>381</v>
      </c>
      <c r="C13" s="50" t="n">
        <v>0</v>
      </c>
      <c r="D13" s="16" t="n">
        <f aca="false">Palancas!D13*ef26*r_tpr</f>
        <v>0</v>
      </c>
      <c r="E13" s="16" t="n">
        <f aca="false">Palancas!E13*1*r_tpr</f>
        <v>0</v>
      </c>
      <c r="F13" s="16" t="n">
        <f aca="false">Palancas!F13*1*r_tpr</f>
        <v>0</v>
      </c>
      <c r="G13" s="16" t="n">
        <f aca="false">Palancas!G13*1*r_tpr</f>
        <v>0</v>
      </c>
      <c r="H13" s="51" t="s">
        <v>254</v>
      </c>
    </row>
    <row r="14" customFormat="false" ht="15" hidden="false" customHeight="false" outlineLevel="0" collapsed="false">
      <c r="B14" s="21" t="s">
        <v>382</v>
      </c>
      <c r="C14" s="50" t="n">
        <v>0</v>
      </c>
      <c r="D14" s="16" t="n">
        <f aca="false">Palancas!D14*ef26*r_tex</f>
        <v>0</v>
      </c>
      <c r="E14" s="16" t="n">
        <f aca="false">Palancas!E14*1*r_tex</f>
        <v>0</v>
      </c>
      <c r="F14" s="16" t="n">
        <f aca="false">Palancas!F14*1*r_tex</f>
        <v>0</v>
      </c>
      <c r="G14" s="16" t="n">
        <f aca="false">Palancas!G14*1*r_tex</f>
        <v>0</v>
      </c>
      <c r="H14" s="51" t="s">
        <v>254</v>
      </c>
    </row>
    <row r="15" customFormat="false" ht="15" hidden="false" customHeight="false" outlineLevel="0" collapsed="false">
      <c r="B15" s="21" t="s">
        <v>383</v>
      </c>
      <c r="C15" s="50" t="n">
        <v>0</v>
      </c>
      <c r="D15" s="16" t="n">
        <f aca="false">Palancas!D15*ef26</f>
        <v>0</v>
      </c>
      <c r="E15" s="16" t="n">
        <f aca="false">Palancas!E15*1</f>
        <v>0</v>
      </c>
      <c r="F15" s="16" t="n">
        <f aca="false">Palancas!F15*1</f>
        <v>0</v>
      </c>
      <c r="G15" s="16" t="n">
        <f aca="false">Palancas!G15*1</f>
        <v>0</v>
      </c>
      <c r="H15" s="51" t="s">
        <v>353</v>
      </c>
    </row>
    <row r="16" customFormat="false" ht="15" hidden="false" customHeight="false" outlineLevel="0" collapsed="false">
      <c r="B16" s="21" t="s">
        <v>384</v>
      </c>
      <c r="C16" s="50" t="n">
        <v>0</v>
      </c>
      <c r="D16" s="16" t="n">
        <f aca="false">Palancas!D16*ef26</f>
        <v>0</v>
      </c>
      <c r="E16" s="16" t="n">
        <f aca="false">Palancas!E16*1</f>
        <v>0</v>
      </c>
      <c r="F16" s="16" t="n">
        <f aca="false">Palancas!F16*1</f>
        <v>0</v>
      </c>
      <c r="G16" s="16" t="n">
        <f aca="false">Palancas!G16*1</f>
        <v>0</v>
      </c>
      <c r="H16" s="51" t="s">
        <v>353</v>
      </c>
    </row>
    <row r="17" customFormat="false" ht="15" hidden="false" customHeight="false" outlineLevel="0" collapsed="false">
      <c r="B17" s="21" t="s">
        <v>385</v>
      </c>
      <c r="C17" s="50" t="n">
        <v>0</v>
      </c>
      <c r="D17" s="16" t="n">
        <f aca="false">Palancas!D17*ef26</f>
        <v>0</v>
      </c>
      <c r="E17" s="16" t="n">
        <f aca="false">Palancas!E17*1</f>
        <v>0</v>
      </c>
      <c r="F17" s="16" t="n">
        <f aca="false">Palancas!F17*1</f>
        <v>0</v>
      </c>
      <c r="G17" s="16" t="n">
        <f aca="false">Palancas!G17*1</f>
        <v>0</v>
      </c>
      <c r="H17" s="51" t="s">
        <v>353</v>
      </c>
    </row>
    <row r="18" customFormat="false" ht="15" hidden="false" customHeight="false" outlineLevel="0" collapsed="false">
      <c r="B18" s="21" t="s">
        <v>386</v>
      </c>
      <c r="C18" s="52" t="n">
        <v>0</v>
      </c>
      <c r="D18" s="14" t="n">
        <f aca="false">Palancas!D18</f>
        <v>0</v>
      </c>
      <c r="E18" s="14" t="n">
        <f aca="false">Palancas!E18</f>
        <v>0</v>
      </c>
      <c r="F18" s="14" t="n">
        <f aca="false">Palancas!F18</f>
        <v>0</v>
      </c>
      <c r="G18" s="14" t="n">
        <f aca="false">Palancas!G18</f>
        <v>0</v>
      </c>
      <c r="H18" s="51" t="s">
        <v>140</v>
      </c>
    </row>
    <row r="19" customFormat="false" ht="15" hidden="false" customHeight="false" outlineLevel="0" collapsed="false">
      <c r="B19" s="21" t="s">
        <v>387</v>
      </c>
      <c r="C19" s="52" t="n">
        <v>0</v>
      </c>
      <c r="D19" s="14" t="n">
        <f aca="false">Palancas!D19</f>
        <v>0</v>
      </c>
      <c r="E19" s="14" t="n">
        <f aca="false">Palancas!E19</f>
        <v>0</v>
      </c>
      <c r="F19" s="14" t="n">
        <f aca="false">Palancas!F19</f>
        <v>0</v>
      </c>
      <c r="G19" s="14" t="n">
        <f aca="false">Palancas!G19</f>
        <v>0</v>
      </c>
      <c r="H19" s="51" t="s">
        <v>140</v>
      </c>
    </row>
    <row r="20" customFormat="false" ht="15" hidden="false" customHeight="false" outlineLevel="0" collapsed="false">
      <c r="B20" s="48" t="s">
        <v>388</v>
      </c>
      <c r="C20" s="49"/>
      <c r="D20" s="49"/>
      <c r="E20" s="49"/>
      <c r="F20" s="49"/>
      <c r="G20" s="49"/>
      <c r="H20" s="49"/>
    </row>
    <row r="21" customFormat="false" ht="15" hidden="false" customHeight="false" outlineLevel="0" collapsed="false">
      <c r="B21" s="21" t="s">
        <v>389</v>
      </c>
      <c r="C21" s="50" t="n">
        <f aca="false">C8+C9+C10+C11</f>
        <v>0</v>
      </c>
      <c r="D21" s="37" t="n">
        <f aca="false">D8+D9+D10+D11</f>
        <v>0</v>
      </c>
      <c r="E21" s="37" t="n">
        <f aca="false">E8+E9+E10+E11</f>
        <v>0</v>
      </c>
      <c r="F21" s="37" t="n">
        <f aca="false">F8+F9+F10+F11</f>
        <v>0</v>
      </c>
      <c r="G21" s="37" t="n">
        <f aca="false">G8+G9+G10+G11</f>
        <v>0</v>
      </c>
      <c r="H21" s="51" t="s">
        <v>254</v>
      </c>
    </row>
    <row r="22" customFormat="false" ht="15" hidden="false" customHeight="false" outlineLevel="0" collapsed="false">
      <c r="B22" s="21" t="s">
        <v>390</v>
      </c>
      <c r="C22" s="50" t="n">
        <f aca="false">C12+C13+C14</f>
        <v>0</v>
      </c>
      <c r="D22" s="37" t="n">
        <f aca="false">D12+D13+D14</f>
        <v>0</v>
      </c>
      <c r="E22" s="37" t="n">
        <f aca="false">E12+E13+E14</f>
        <v>0</v>
      </c>
      <c r="F22" s="37" t="n">
        <f aca="false">F12+F13+F14</f>
        <v>0</v>
      </c>
      <c r="G22" s="37" t="n">
        <f aca="false">G12+G13+G14</f>
        <v>0</v>
      </c>
      <c r="H22" s="51" t="s">
        <v>254</v>
      </c>
    </row>
    <row r="23" customFormat="false" ht="15" hidden="false" customHeight="false" outlineLevel="0" collapsed="false">
      <c r="B23" s="21" t="s">
        <v>391</v>
      </c>
      <c r="C23" s="50" t="n">
        <f aca="false">C22-C21</f>
        <v>0</v>
      </c>
      <c r="D23" s="37" t="n">
        <f aca="false">D22-D21</f>
        <v>0</v>
      </c>
      <c r="E23" s="37" t="n">
        <f aca="false">E22-E21</f>
        <v>0</v>
      </c>
      <c r="F23" s="37" t="n">
        <f aca="false">F22-F21</f>
        <v>0</v>
      </c>
      <c r="G23" s="37" t="n">
        <f aca="false">G22-G21</f>
        <v>0</v>
      </c>
      <c r="H23" s="51" t="s">
        <v>254</v>
      </c>
    </row>
    <row r="24" customFormat="false" ht="15" hidden="false" customHeight="false" outlineLevel="0" collapsed="false">
      <c r="B24" s="48" t="s">
        <v>392</v>
      </c>
      <c r="C24" s="49"/>
      <c r="D24" s="49"/>
      <c r="E24" s="49"/>
      <c r="F24" s="49"/>
      <c r="G24" s="49"/>
      <c r="H24" s="49"/>
    </row>
    <row r="25" customFormat="false" ht="15" hidden="false" customHeight="false" outlineLevel="0" collapsed="false">
      <c r="B25" s="21" t="s">
        <v>393</v>
      </c>
      <c r="C25" s="50" t="n">
        <v>0</v>
      </c>
      <c r="D25" s="37" t="n">
        <f aca="false">D16+bm_cred*D15-crowd*C41/(Datos_FMI!$F$33/100)</f>
        <v>0</v>
      </c>
      <c r="E25" s="37" t="n">
        <f aca="false">E16+bm_cred*E15-crowd*D41/(Datos_FMI!$G$33/100)</f>
        <v>0</v>
      </c>
      <c r="F25" s="37" t="n">
        <f aca="false">F16+bm_cred*F15-crowd*E41/(Datos_FMI!$H$33/100)</f>
        <v>0</v>
      </c>
      <c r="G25" s="37" t="n">
        <f aca="false">G16+bm_cred*G15-crowd*F41/(Datos_FMI!$I$33/100)</f>
        <v>0</v>
      </c>
      <c r="H25" s="51" t="s">
        <v>353</v>
      </c>
    </row>
    <row r="26" customFormat="false" ht="15" hidden="false" customHeight="false" outlineLevel="0" collapsed="false">
      <c r="B26" s="21" t="s">
        <v>394</v>
      </c>
      <c r="C26" s="50" t="n">
        <v>0</v>
      </c>
      <c r="D26" s="37" t="n">
        <f aca="false">C26+D8</f>
        <v>0</v>
      </c>
      <c r="E26" s="37" t="n">
        <f aca="false">D26+E8</f>
        <v>0</v>
      </c>
      <c r="F26" s="37" t="n">
        <f aca="false">E26+F8</f>
        <v>0</v>
      </c>
      <c r="G26" s="37" t="n">
        <f aca="false">F26+G8</f>
        <v>0</v>
      </c>
      <c r="H26" s="51" t="s">
        <v>254</v>
      </c>
    </row>
    <row r="27" customFormat="false" ht="15" hidden="false" customHeight="false" outlineLevel="0" collapsed="false">
      <c r="B27" s="21" t="s">
        <v>395</v>
      </c>
      <c r="C27" s="50" t="n">
        <v>0</v>
      </c>
      <c r="D27" s="37" t="n">
        <f aca="false">kappa*MAX(0,-D23-tol)</f>
        <v>0</v>
      </c>
      <c r="E27" s="37" t="n">
        <f aca="false">kappa*MAX(0,-E23-tol)</f>
        <v>0</v>
      </c>
      <c r="F27" s="37" t="n">
        <f aca="false">kappa*MAX(0,-F23-tol)</f>
        <v>0</v>
      </c>
      <c r="G27" s="37" t="n">
        <f aca="false">kappa*MAX(0,-G23-tol)</f>
        <v>0</v>
      </c>
      <c r="H27" s="51" t="s">
        <v>353</v>
      </c>
    </row>
    <row r="28" customFormat="false" ht="15" hidden="false" customHeight="false" outlineLevel="0" collapsed="false">
      <c r="B28" s="21" t="s">
        <v>396</v>
      </c>
      <c r="C28" s="50" t="n">
        <v>0</v>
      </c>
      <c r="D28" s="37" t="n">
        <f aca="false">m_inv*D8+m_cur*D9+m_sub*D10+m_soc*D11-(m_tev*D12+m_tpr*D13+m_tex*D14)+eps_cred*D25+s_inv*C26+nu_dep*D17-D27</f>
        <v>0</v>
      </c>
      <c r="E28" s="37" t="n">
        <f aca="false">m_inv*E8+m_cur*E9+m_sub*E10+m_soc*E11-(m_tev*E12+m_tpr*E13+m_tex*E14)+eps_cred*E25+s_inv*D26+nu_dep*E17-E27</f>
        <v>0</v>
      </c>
      <c r="F28" s="37" t="n">
        <f aca="false">m_inv*F8+m_cur*F9+m_sub*F10+m_soc*F11-(m_tev*F12+m_tpr*F13+m_tex*F14)+eps_cred*F25+s_inv*E26+nu_dep*F17-F27</f>
        <v>0</v>
      </c>
      <c r="G28" s="37" t="n">
        <f aca="false">m_inv*G8+m_cur*G9+m_sub*G10+m_soc*G11-(m_tev*G12+m_tpr*G13+m_tex*G14)+eps_cred*G25+s_inv*F26+nu_dep*G17-G27</f>
        <v>0</v>
      </c>
      <c r="H28" s="51" t="s">
        <v>353</v>
      </c>
    </row>
    <row r="29" customFormat="false" ht="15" hidden="false" customHeight="false" outlineLevel="0" collapsed="false">
      <c r="B29" s="21" t="s">
        <v>397</v>
      </c>
      <c r="C29" s="50" t="n">
        <f aca="false">Datos_FMI!$E$6+C28</f>
        <v>-1.6</v>
      </c>
      <c r="D29" s="37" t="n">
        <f aca="false">Datos_FMI!$F$6+D28</f>
        <v>-3</v>
      </c>
      <c r="E29" s="37" t="n">
        <f aca="false">Datos_FMI!$G$6+E28</f>
        <v>-1.5</v>
      </c>
      <c r="F29" s="37" t="n">
        <f aca="false">Datos_FMI!$H$6+F28</f>
        <v>0.5</v>
      </c>
      <c r="G29" s="37" t="n">
        <f aca="false">Datos_FMI!$I$6+G28</f>
        <v>2.5</v>
      </c>
      <c r="H29" s="51" t="s">
        <v>114</v>
      </c>
    </row>
    <row r="30" customFormat="false" ht="15" hidden="false" customHeight="false" outlineLevel="0" collapsed="false">
      <c r="B30" s="21" t="s">
        <v>398</v>
      </c>
      <c r="C30" s="50" t="n">
        <v>0</v>
      </c>
      <c r="D30" s="37" t="n">
        <f aca="false">C30+D28</f>
        <v>0</v>
      </c>
      <c r="E30" s="37" t="n">
        <f aca="false">D30+E28</f>
        <v>0</v>
      </c>
      <c r="F30" s="37" t="n">
        <f aca="false">E30+F28</f>
        <v>0</v>
      </c>
      <c r="G30" s="37" t="n">
        <f aca="false">F30+G28</f>
        <v>0</v>
      </c>
      <c r="H30" s="51" t="s">
        <v>114</v>
      </c>
    </row>
    <row r="31" customFormat="false" ht="15" hidden="false" customHeight="false" outlineLevel="0" collapsed="false">
      <c r="B31" s="48" t="s">
        <v>399</v>
      </c>
      <c r="C31" s="49"/>
      <c r="D31" s="49"/>
      <c r="E31" s="49"/>
      <c r="F31" s="49"/>
      <c r="G31" s="49"/>
      <c r="H31" s="49"/>
    </row>
    <row r="32" customFormat="false" ht="15" hidden="false" customHeight="false" outlineLevel="0" collapsed="false">
      <c r="B32" s="21" t="s">
        <v>400</v>
      </c>
      <c r="C32" s="50" t="n">
        <v>0</v>
      </c>
      <c r="D32" s="37" t="n">
        <f aca="false">D23+auto*D28</f>
        <v>0</v>
      </c>
      <c r="E32" s="37" t="n">
        <f aca="false">E23+auto*E28</f>
        <v>0</v>
      </c>
      <c r="F32" s="37" t="n">
        <f aca="false">F23+auto*F28</f>
        <v>0</v>
      </c>
      <c r="G32" s="37" t="n">
        <f aca="false">G23+auto*G28</f>
        <v>0</v>
      </c>
      <c r="H32" s="51" t="s">
        <v>254</v>
      </c>
    </row>
    <row r="33" customFormat="false" ht="15" hidden="false" customHeight="false" outlineLevel="0" collapsed="false">
      <c r="B33" s="21" t="s">
        <v>401</v>
      </c>
      <c r="C33" s="50" t="n">
        <f aca="false">Datos_FMI!$E$17+C32</f>
        <v>-8.8</v>
      </c>
      <c r="D33" s="37" t="n">
        <f aca="false">Datos_FMI!$F$17+D32</f>
        <v>-6.5</v>
      </c>
      <c r="E33" s="37" t="n">
        <f aca="false">Datos_FMI!$G$17+E32</f>
        <v>-3</v>
      </c>
      <c r="F33" s="37" t="n">
        <f aca="false">Datos_FMI!$H$17+F32</f>
        <v>-0.3</v>
      </c>
      <c r="G33" s="37" t="n">
        <f aca="false">Datos_FMI!$I$17+G32</f>
        <v>0.6</v>
      </c>
      <c r="H33" s="51" t="s">
        <v>122</v>
      </c>
    </row>
    <row r="34" customFormat="false" ht="15" hidden="false" customHeight="false" outlineLevel="0" collapsed="false">
      <c r="B34" s="21" t="s">
        <v>401</v>
      </c>
      <c r="C34" s="52" t="n">
        <f aca="false">Datos_FMI!$E$18+C32/100*Datos_FMI!$E$9</f>
        <v>-39587</v>
      </c>
      <c r="D34" s="34" t="n">
        <f aca="false">Datos_FMI!$F$18+D32/100*Datos_FMI!$F$9</f>
        <v>-32869</v>
      </c>
      <c r="E34" s="34" t="n">
        <f aca="false">Datos_FMI!$G$18+E32/100*Datos_FMI!$G$9</f>
        <v>-17466</v>
      </c>
      <c r="F34" s="34" t="n">
        <f aca="false">Datos_FMI!$H$18+F32/100*Datos_FMI!$H$9</f>
        <v>-1861.113</v>
      </c>
      <c r="G34" s="34" t="n">
        <f aca="false">Datos_FMI!$I$18+G32/100*Datos_FMI!$I$9</f>
        <v>4067.604</v>
      </c>
      <c r="H34" s="51" t="s">
        <v>119</v>
      </c>
    </row>
    <row r="35" customFormat="false" ht="15" hidden="false" customHeight="false" outlineLevel="0" collapsed="false">
      <c r="B35" s="21" t="s">
        <v>402</v>
      </c>
      <c r="C35" s="50" t="n">
        <v>0</v>
      </c>
      <c r="D35" s="37" t="n">
        <f aca="false">r_int*C54/Datos_FMI!$F$9*100</f>
        <v>0</v>
      </c>
      <c r="E35" s="37" t="n">
        <f aca="false">r_int*D54/Datos_FMI!$G$9*100</f>
        <v>0</v>
      </c>
      <c r="F35" s="37" t="n">
        <f aca="false">r_int*E54/Datos_FMI!$H$9*100</f>
        <v>0</v>
      </c>
      <c r="G35" s="37" t="n">
        <f aca="false">r_int*F54/Datos_FMI!$I$9*100</f>
        <v>0</v>
      </c>
      <c r="H35" s="51" t="s">
        <v>254</v>
      </c>
    </row>
    <row r="36" customFormat="false" ht="15" hidden="false" customHeight="false" outlineLevel="0" collapsed="false">
      <c r="B36" s="21" t="s">
        <v>403</v>
      </c>
      <c r="C36" s="50" t="n">
        <v>0</v>
      </c>
      <c r="D36" s="37" t="n">
        <f aca="false">D32-D35</f>
        <v>0</v>
      </c>
      <c r="E36" s="37" t="n">
        <f aca="false">E32-E35</f>
        <v>0</v>
      </c>
      <c r="F36" s="37" t="n">
        <f aca="false">F32-F35</f>
        <v>0</v>
      </c>
      <c r="G36" s="37" t="n">
        <f aca="false">G32-G35</f>
        <v>0</v>
      </c>
      <c r="H36" s="51" t="s">
        <v>254</v>
      </c>
    </row>
    <row r="37" customFormat="false" ht="15" hidden="false" customHeight="false" outlineLevel="0" collapsed="false">
      <c r="B37" s="21" t="s">
        <v>404</v>
      </c>
      <c r="C37" s="50" t="n">
        <f aca="false">Datos_FMI!$E$19+C36</f>
        <v>-11.4</v>
      </c>
      <c r="D37" s="37" t="n">
        <f aca="false">Datos_FMI!$F$19+D36</f>
        <v>-9.2</v>
      </c>
      <c r="E37" s="37" t="n">
        <f aca="false">Datos_FMI!$G$19+E36</f>
        <v>-6.7</v>
      </c>
      <c r="F37" s="37" t="n">
        <f aca="false">Datos_FMI!$H$19+F36</f>
        <v>-4</v>
      </c>
      <c r="G37" s="37" t="n">
        <f aca="false">Datos_FMI!$I$19+G36</f>
        <v>-3.2</v>
      </c>
      <c r="H37" s="51" t="s">
        <v>122</v>
      </c>
    </row>
    <row r="38" customFormat="false" ht="15" hidden="false" customHeight="false" outlineLevel="0" collapsed="false">
      <c r="B38" s="21" t="s">
        <v>405</v>
      </c>
      <c r="C38" s="52" t="n">
        <v>0</v>
      </c>
      <c r="D38" s="34" t="n">
        <f aca="false">-D36/100*Datos_FMI!$F$9</f>
        <v>-0</v>
      </c>
      <c r="E38" s="34" t="n">
        <f aca="false">-E36/100*Datos_FMI!$G$9</f>
        <v>-0</v>
      </c>
      <c r="F38" s="34" t="n">
        <f aca="false">-F36/100*Datos_FMI!$H$9</f>
        <v>-0</v>
      </c>
      <c r="G38" s="34" t="n">
        <f aca="false">-G36/100*Datos_FMI!$I$9</f>
        <v>-0</v>
      </c>
      <c r="H38" s="51" t="s">
        <v>119</v>
      </c>
    </row>
    <row r="39" customFormat="false" ht="15" hidden="false" customHeight="false" outlineLevel="0" collapsed="false">
      <c r="B39" s="21" t="s">
        <v>386</v>
      </c>
      <c r="C39" s="52" t="n">
        <v>0</v>
      </c>
      <c r="D39" s="34" t="n">
        <f aca="false">D18*D46</f>
        <v>0</v>
      </c>
      <c r="E39" s="34" t="n">
        <f aca="false">E18*E46</f>
        <v>0</v>
      </c>
      <c r="F39" s="34" t="n">
        <f aca="false">F18*F46</f>
        <v>0</v>
      </c>
      <c r="G39" s="34" t="n">
        <f aca="false">G18*G46</f>
        <v>0</v>
      </c>
      <c r="H39" s="51" t="s">
        <v>119</v>
      </c>
    </row>
    <row r="40" customFormat="false" ht="15" hidden="false" customHeight="false" outlineLevel="0" collapsed="false">
      <c r="B40" s="21" t="s">
        <v>406</v>
      </c>
      <c r="C40" s="52" t="n">
        <v>0</v>
      </c>
      <c r="D40" s="34" t="n">
        <f aca="false">MIN(cap_dom/100*Datos_FMI!$F$9,MAX(0,D38-D39))</f>
        <v>-0</v>
      </c>
      <c r="E40" s="34" t="n">
        <f aca="false">MIN(cap_dom/100*Datos_FMI!$G$9,MAX(0,E38-E39))</f>
        <v>-0</v>
      </c>
      <c r="F40" s="34" t="n">
        <f aca="false">MIN(cap_dom/100*Datos_FMI!$H$9,MAX(0,F38-F39))</f>
        <v>-0</v>
      </c>
      <c r="G40" s="34" t="n">
        <f aca="false">MIN(cap_dom/100*Datos_FMI!$I$9,MAX(0,G38-G39))</f>
        <v>-0</v>
      </c>
      <c r="H40" s="51" t="s">
        <v>119</v>
      </c>
    </row>
    <row r="41" customFormat="false" ht="15" hidden="false" customHeight="false" outlineLevel="0" collapsed="false">
      <c r="B41" s="21" t="s">
        <v>407</v>
      </c>
      <c r="C41" s="50" t="n">
        <v>0</v>
      </c>
      <c r="D41" s="37" t="n">
        <f aca="false">D40/Datos_FMI!$F$9*100</f>
        <v>-0</v>
      </c>
      <c r="E41" s="37" t="n">
        <f aca="false">E40/Datos_FMI!$G$9*100</f>
        <v>-0</v>
      </c>
      <c r="F41" s="37" t="n">
        <f aca="false">F40/Datos_FMI!$H$9*100</f>
        <v>-0</v>
      </c>
      <c r="G41" s="37" t="n">
        <f aca="false">G40/Datos_FMI!$I$9*100</f>
        <v>-0</v>
      </c>
      <c r="H41" s="51" t="s">
        <v>254</v>
      </c>
    </row>
    <row r="42" customFormat="false" ht="15" hidden="false" customHeight="false" outlineLevel="0" collapsed="false">
      <c r="B42" s="21" t="s">
        <v>408</v>
      </c>
      <c r="C42" s="52" t="n">
        <v>0</v>
      </c>
      <c r="D42" s="34" t="n">
        <f aca="false">MAX(0,D38-D39-D40)</f>
        <v>0</v>
      </c>
      <c r="E42" s="34" t="n">
        <f aca="false">MAX(0,E38-E39-E40)</f>
        <v>0</v>
      </c>
      <c r="F42" s="34" t="n">
        <f aca="false">MAX(0,F38-F39-F40)</f>
        <v>0</v>
      </c>
      <c r="G42" s="34" t="n">
        <f aca="false">MAX(0,G38-G39-G40)</f>
        <v>0</v>
      </c>
      <c r="H42" s="51" t="s">
        <v>119</v>
      </c>
    </row>
    <row r="43" customFormat="false" ht="15" hidden="false" customHeight="false" outlineLevel="0" collapsed="false">
      <c r="B43" s="48" t="s">
        <v>409</v>
      </c>
      <c r="C43" s="49"/>
      <c r="D43" s="49"/>
      <c r="E43" s="49"/>
      <c r="F43" s="49"/>
      <c r="G43" s="49"/>
      <c r="H43" s="49"/>
    </row>
    <row r="44" customFormat="false" ht="15" hidden="false" customHeight="false" outlineLevel="0" collapsed="false">
      <c r="B44" s="21" t="s">
        <v>410</v>
      </c>
      <c r="C44" s="50" t="n">
        <v>0</v>
      </c>
      <c r="D44" s="37" t="n">
        <f aca="false">D17+bm_dep*D15</f>
        <v>0</v>
      </c>
      <c r="E44" s="37" t="n">
        <f aca="false">E17+bm_dep*E15</f>
        <v>0</v>
      </c>
      <c r="F44" s="37" t="n">
        <f aca="false">F17+bm_dep*F15</f>
        <v>0</v>
      </c>
      <c r="G44" s="37" t="n">
        <f aca="false">G17+bm_dep*G15</f>
        <v>0</v>
      </c>
      <c r="H44" s="51" t="s">
        <v>353</v>
      </c>
    </row>
    <row r="45" customFormat="false" ht="15" hidden="false" customHeight="false" outlineLevel="0" collapsed="false">
      <c r="B45" s="21" t="s">
        <v>411</v>
      </c>
      <c r="C45" s="50" t="n">
        <v>0</v>
      </c>
      <c r="D45" s="37" t="n">
        <f aca="false">C45+D44</f>
        <v>0</v>
      </c>
      <c r="E45" s="37" t="n">
        <f aca="false">D45+E44</f>
        <v>0</v>
      </c>
      <c r="F45" s="37" t="n">
        <f aca="false">E45+F44</f>
        <v>0</v>
      </c>
      <c r="G45" s="37" t="n">
        <f aca="false">F45+G44</f>
        <v>0</v>
      </c>
      <c r="H45" s="51" t="s">
        <v>114</v>
      </c>
    </row>
    <row r="46" customFormat="false" ht="15" hidden="false" customHeight="false" outlineLevel="0" collapsed="false">
      <c r="B46" s="21" t="s">
        <v>412</v>
      </c>
      <c r="C46" s="50" t="n">
        <f aca="false">12.8</f>
        <v>12.8</v>
      </c>
      <c r="D46" s="37" t="n">
        <f aca="false">Datos_FMI!$F$42*(1+D45/100)</f>
        <v>9.40463592699328</v>
      </c>
      <c r="E46" s="37" t="n">
        <f aca="false">Datos_FMI!$G$42*(1+E45/100)</f>
        <v>13.1633156832674</v>
      </c>
      <c r="F46" s="37" t="n">
        <f aca="false">Datos_FMI!$H$42*(1+F45/100)</f>
        <v>13.3720870518832</v>
      </c>
      <c r="G46" s="37" t="n">
        <f aca="false">Datos_FMI!$I$42*(1+G45/100)</f>
        <v>13.5683371794872</v>
      </c>
      <c r="H46" s="51" t="s">
        <v>168</v>
      </c>
    </row>
    <row r="47" customFormat="false" ht="15" hidden="false" customHeight="false" outlineLevel="0" collapsed="false">
      <c r="B47" s="21" t="s">
        <v>413</v>
      </c>
      <c r="C47" s="50" t="n">
        <v>0</v>
      </c>
      <c r="D47" s="37" t="n">
        <f aca="false">-phi_sub*(D10-C10)+mu_bm*(D15+D42/Datos_FMI!$F$34*100)+eta*D28+psi*D44+tax_pi*D12</f>
        <v>0</v>
      </c>
      <c r="E47" s="37" t="n">
        <f aca="false">-phi_sub*(E10-D10)+mu_bm*(E15+E42/Datos_FMI!$G$34*100)+eta*E28+psi*E44+tax_pi*E12</f>
        <v>0</v>
      </c>
      <c r="F47" s="37" t="n">
        <f aca="false">-phi_sub*(F10-E10)+mu_bm*(F15+F42/Datos_FMI!$H$34*100)+eta*F28+psi*F44+tax_pi*F12</f>
        <v>0</v>
      </c>
      <c r="G47" s="37" t="n">
        <f aca="false">-phi_sub*(G10-F10)+mu_bm*(G15+G42/Datos_FMI!$I$34*100)+eta*G28+psi*G44+tax_pi*G12</f>
        <v>0</v>
      </c>
      <c r="H47" s="51" t="s">
        <v>353</v>
      </c>
    </row>
    <row r="48" customFormat="false" ht="15" hidden="false" customHeight="false" outlineLevel="0" collapsed="false">
      <c r="B48" s="21" t="s">
        <v>414</v>
      </c>
      <c r="C48" s="50" t="n">
        <f aca="false">Datos_FMI!$E$7+C47</f>
        <v>19.5</v>
      </c>
      <c r="D48" s="37" t="n">
        <f aca="false">Datos_FMI!$F$7+D47</f>
        <v>12.7</v>
      </c>
      <c r="E48" s="37" t="n">
        <f aca="false">Datos_FMI!$G$7+E47</f>
        <v>15.8</v>
      </c>
      <c r="F48" s="37" t="n">
        <f aca="false">Datos_FMI!$H$7+F47</f>
        <v>8.2</v>
      </c>
      <c r="G48" s="37" t="n">
        <f aca="false">Datos_FMI!$I$7+G47</f>
        <v>7.3</v>
      </c>
      <c r="H48" s="51" t="s">
        <v>114</v>
      </c>
    </row>
    <row r="49" customFormat="false" ht="15" hidden="false" customHeight="false" outlineLevel="0" collapsed="false">
      <c r="B49" s="21" t="s">
        <v>415</v>
      </c>
      <c r="C49" s="50" t="n">
        <f aca="false">Datos_FMI!$E$8+C47</f>
        <v>20.4</v>
      </c>
      <c r="D49" s="37" t="n">
        <f aca="false">Datos_FMI!$F$8+D47</f>
        <v>14.2</v>
      </c>
      <c r="E49" s="37" t="n">
        <f aca="false">Datos_FMI!$G$8+E47</f>
        <v>10.7</v>
      </c>
      <c r="F49" s="37" t="n">
        <f aca="false">Datos_FMI!$H$8+F47</f>
        <v>8.7</v>
      </c>
      <c r="G49" s="37" t="n">
        <f aca="false">Datos_FMI!$I$8+G47</f>
        <v>6.2</v>
      </c>
      <c r="H49" s="51" t="s">
        <v>114</v>
      </c>
    </row>
    <row r="50" customFormat="false" ht="15" hidden="false" customHeight="false" outlineLevel="0" collapsed="false">
      <c r="B50" s="21" t="s">
        <v>416</v>
      </c>
      <c r="C50" s="50" t="n">
        <v>0</v>
      </c>
      <c r="D50" s="37" t="n">
        <f aca="false">C50+D47</f>
        <v>0</v>
      </c>
      <c r="E50" s="37" t="n">
        <f aca="false">D50+E47</f>
        <v>0</v>
      </c>
      <c r="F50" s="37" t="n">
        <f aca="false">E50+F47</f>
        <v>0</v>
      </c>
      <c r="G50" s="37" t="n">
        <f aca="false">F50+G47</f>
        <v>0</v>
      </c>
      <c r="H50" s="51" t="s">
        <v>114</v>
      </c>
    </row>
    <row r="51" customFormat="false" ht="15" hidden="false" customHeight="false" outlineLevel="0" collapsed="false">
      <c r="B51" s="21" t="s">
        <v>417</v>
      </c>
      <c r="C51" s="52" t="n">
        <f aca="false">Datos_FMI!$E$9*(1+C30/100)*(1+C50/100)</f>
        <v>447553</v>
      </c>
      <c r="D51" s="34" t="n">
        <f aca="false">Datos_FMI!$F$9*(1+D30/100)*(1+D50/100)</f>
        <v>506391</v>
      </c>
      <c r="E51" s="34" t="n">
        <f aca="false">Datos_FMI!$G$9*(1+E30/100)*(1+E50/100)</f>
        <v>578299</v>
      </c>
      <c r="F51" s="34" t="n">
        <f aca="false">Datos_FMI!$H$9*(1+F30/100)*(1+F50/100)</f>
        <v>620371</v>
      </c>
      <c r="G51" s="34" t="n">
        <f aca="false">Datos_FMI!$I$9*(1+G30/100)*(1+G50/100)</f>
        <v>677934</v>
      </c>
      <c r="H51" s="51" t="s">
        <v>119</v>
      </c>
    </row>
    <row r="52" customFormat="false" ht="15" hidden="false" customHeight="false" outlineLevel="0" collapsed="false">
      <c r="B52" s="48" t="s">
        <v>418</v>
      </c>
      <c r="C52" s="49"/>
      <c r="D52" s="49"/>
      <c r="E52" s="49"/>
      <c r="F52" s="49"/>
      <c r="G52" s="49"/>
      <c r="H52" s="49"/>
    </row>
    <row r="53" customFormat="false" ht="15" hidden="false" customHeight="false" outlineLevel="0" collapsed="false">
      <c r="B53" s="21" t="s">
        <v>419</v>
      </c>
      <c r="C53" s="52" t="n">
        <v>0</v>
      </c>
      <c r="D53" s="34" t="n">
        <f aca="false">C53+D38</f>
        <v>0</v>
      </c>
      <c r="E53" s="34" t="n">
        <f aca="false">D53+E38</f>
        <v>0</v>
      </c>
      <c r="F53" s="34" t="n">
        <f aca="false">E53+F38</f>
        <v>0</v>
      </c>
      <c r="G53" s="34" t="n">
        <f aca="false">F53+G38</f>
        <v>0</v>
      </c>
      <c r="H53" s="51" t="s">
        <v>119</v>
      </c>
    </row>
    <row r="54" customFormat="false" ht="15" hidden="false" customHeight="false" outlineLevel="0" collapsed="false">
      <c r="B54" s="21" t="s">
        <v>420</v>
      </c>
      <c r="C54" s="52" t="n">
        <v>0</v>
      </c>
      <c r="D54" s="34" t="n">
        <f aca="false">D53+Datos_FMI!$F$22*D45/100</f>
        <v>0</v>
      </c>
      <c r="E54" s="34" t="n">
        <f aca="false">E53+Datos_FMI!$G$22*E45/100</f>
        <v>0</v>
      </c>
      <c r="F54" s="34" t="n">
        <f aca="false">F53+Datos_FMI!$H$22*F45/100</f>
        <v>0</v>
      </c>
      <c r="G54" s="34" t="n">
        <f aca="false">G53+Datos_FMI!$I$22*G45/100</f>
        <v>0</v>
      </c>
      <c r="H54" s="51" t="s">
        <v>119</v>
      </c>
    </row>
    <row r="55" customFormat="false" ht="15" hidden="false" customHeight="false" outlineLevel="0" collapsed="false">
      <c r="B55" s="21" t="s">
        <v>421</v>
      </c>
      <c r="C55" s="50" t="n">
        <f aca="false">(Datos_FMI!$E$21+C54)/C51*100</f>
        <v>83.3168362182803</v>
      </c>
      <c r="D55" s="37" t="n">
        <f aca="false">(Datos_FMI!$F$21+D54)/D51*100</f>
        <v>100.477694113837</v>
      </c>
      <c r="E55" s="37" t="n">
        <f aca="false">(Datos_FMI!$G$21+E54)/E51*100</f>
        <v>95.3612231734795</v>
      </c>
      <c r="F55" s="37" t="n">
        <f aca="false">(Datos_FMI!$H$21+F54)/F51*100</f>
        <v>93.1855293042389</v>
      </c>
      <c r="G55" s="37" t="n">
        <f aca="false">(Datos_FMI!$I$21+G54)/G51*100</f>
        <v>89.2033737797485</v>
      </c>
      <c r="H55" s="51" t="s">
        <v>122</v>
      </c>
    </row>
    <row r="56" customFormat="false" ht="15" hidden="false" customHeight="false" outlineLevel="0" collapsed="false">
      <c r="B56" s="48" t="s">
        <v>422</v>
      </c>
      <c r="C56" s="49"/>
      <c r="D56" s="49"/>
      <c r="E56" s="49"/>
      <c r="F56" s="49"/>
      <c r="G56" s="49"/>
      <c r="H56" s="49"/>
    </row>
    <row r="57" customFormat="false" ht="15" hidden="false" customHeight="false" outlineLevel="0" collapsed="false">
      <c r="B57" s="21" t="s">
        <v>423</v>
      </c>
      <c r="C57" s="52" t="n">
        <v>0</v>
      </c>
      <c r="D57" s="34" t="n">
        <f aca="false">D18-D19-imp_el*D28/100*Datos_FMI!$F$24-sub_leak*D10/100*Datos_FMI!$F$41-bm_flight*D15-monet_leak*D42/D46</f>
        <v>0</v>
      </c>
      <c r="E57" s="34" t="n">
        <f aca="false">E18-E19-imp_el*E28/100*Datos_FMI!$G$24-sub_leak*E10/100*Datos_FMI!$G$41-bm_flight*E15-monet_leak*E42/E46</f>
        <v>0</v>
      </c>
      <c r="F57" s="34" t="n">
        <f aca="false">F18-F19-imp_el*F28/100*Datos_FMI!$H$24-sub_leak*F10/100*Datos_FMI!$H$41-bm_flight*F15-monet_leak*F42/F46</f>
        <v>0</v>
      </c>
      <c r="G57" s="34" t="n">
        <f aca="false">G18-G19-imp_el*G28/100*Datos_FMI!$I$24-sub_leak*G10/100*Datos_FMI!$I$41-bm_flight*G15-monet_leak*G42/G46</f>
        <v>0</v>
      </c>
      <c r="H57" s="51" t="s">
        <v>140</v>
      </c>
    </row>
    <row r="58" customFormat="false" ht="15" hidden="false" customHeight="false" outlineLevel="0" collapsed="false">
      <c r="B58" s="21" t="s">
        <v>424</v>
      </c>
      <c r="C58" s="52" t="n">
        <v>0</v>
      </c>
      <c r="D58" s="34" t="n">
        <f aca="false">C58+D57</f>
        <v>0</v>
      </c>
      <c r="E58" s="34" t="n">
        <f aca="false">D58+E57</f>
        <v>0</v>
      </c>
      <c r="F58" s="34" t="n">
        <f aca="false">E58+F57</f>
        <v>0</v>
      </c>
      <c r="G58" s="34" t="n">
        <f aca="false">F58+G57</f>
        <v>0</v>
      </c>
      <c r="H58" s="51" t="s">
        <v>140</v>
      </c>
    </row>
    <row r="59" customFormat="false" ht="15" hidden="false" customHeight="false" outlineLevel="0" collapsed="false">
      <c r="B59" s="21" t="s">
        <v>425</v>
      </c>
      <c r="C59" s="52" t="n">
        <f aca="false">Datos_FMI!$E$31+C58</f>
        <v>-2990</v>
      </c>
      <c r="D59" s="34" t="n">
        <f aca="false">Datos_FMI!$F$31+D58</f>
        <v>-581</v>
      </c>
      <c r="E59" s="34" t="n">
        <f aca="false">Datos_FMI!$G$31+E58</f>
        <v>744</v>
      </c>
      <c r="F59" s="34" t="n">
        <f aca="false">Datos_FMI!$H$31+F58</f>
        <v>1304</v>
      </c>
      <c r="G59" s="34" t="n">
        <f aca="false">Datos_FMI!$I$31+G58</f>
        <v>1878</v>
      </c>
      <c r="H59" s="51" t="s">
        <v>140</v>
      </c>
    </row>
    <row r="60" customFormat="false" ht="15" hidden="false" customHeight="false" outlineLevel="0" collapsed="false">
      <c r="B60" s="21" t="s">
        <v>426</v>
      </c>
      <c r="C60" s="52" t="n">
        <f aca="false">Datos_FMI!$E$28+C58</f>
        <v>627</v>
      </c>
      <c r="D60" s="34" t="n">
        <f aca="false">Datos_FMI!$F$28+D58</f>
        <v>2458</v>
      </c>
      <c r="E60" s="34" t="n">
        <f aca="false">Datos_FMI!$G$28+E58</f>
        <v>3982</v>
      </c>
      <c r="F60" s="34" t="n">
        <f aca="false">Datos_FMI!$H$28+F58</f>
        <v>4690</v>
      </c>
      <c r="G60" s="34" t="n">
        <f aca="false">Datos_FMI!$I$28+G58</f>
        <v>5527</v>
      </c>
      <c r="H60" s="51" t="s">
        <v>140</v>
      </c>
    </row>
    <row r="61" customFormat="false" ht="15" hidden="false" customHeight="false" outlineLevel="0" collapsed="false">
      <c r="B61" s="21" t="s">
        <v>427</v>
      </c>
      <c r="C61" s="50" t="n">
        <f aca="false">Datos_FMI!$E$29*C60/Datos_FMI!$E$28</f>
        <v>10.9</v>
      </c>
      <c r="D61" s="37" t="n">
        <f aca="false">Datos_FMI!$F$29*D60/Datos_FMI!$F$28</f>
        <v>53.4</v>
      </c>
      <c r="E61" s="37" t="n">
        <f aca="false">Datos_FMI!$G$29*E60/Datos_FMI!$G$28</f>
        <v>86.1</v>
      </c>
      <c r="F61" s="37" t="n">
        <f aca="false">Datos_FMI!$H$29*F60/Datos_FMI!$H$28</f>
        <v>100.1</v>
      </c>
      <c r="G61" s="37" t="n">
        <f aca="false">Datos_FMI!$I$29*G60/Datos_FMI!$I$28</f>
        <v>112.3</v>
      </c>
      <c r="H61" s="51" t="s">
        <v>114</v>
      </c>
    </row>
    <row r="62" customFormat="false" ht="15" hidden="false" customHeight="false" outlineLevel="0" collapsed="false">
      <c r="B62" s="48" t="s">
        <v>428</v>
      </c>
      <c r="C62" s="49"/>
      <c r="D62" s="49"/>
      <c r="E62" s="49"/>
      <c r="F62" s="49"/>
      <c r="G62" s="49"/>
      <c r="H62" s="49"/>
    </row>
    <row r="63" customFormat="false" ht="15" hidden="false" customHeight="false" outlineLevel="0" collapsed="false">
      <c r="B63" s="21" t="s">
        <v>429</v>
      </c>
      <c r="C63" s="50" t="n">
        <f aca="false">Datos_FMI!$E$32+C25</f>
        <v>3.1</v>
      </c>
      <c r="D63" s="37" t="n">
        <f aca="false">Datos_FMI!$F$32+D25</f>
        <v>4</v>
      </c>
      <c r="E63" s="37" t="n">
        <f aca="false">Datos_FMI!$G$32+E25</f>
        <v>7.3</v>
      </c>
      <c r="F63" s="37" t="n">
        <f aca="false">Datos_FMI!$H$32+F25</f>
        <v>7.3</v>
      </c>
      <c r="G63" s="37" t="n">
        <f aca="false">Datos_FMI!$I$32+G25</f>
        <v>9.5</v>
      </c>
      <c r="H63" s="51" t="s">
        <v>114</v>
      </c>
    </row>
    <row r="64" customFormat="false" ht="15" hidden="false" customHeight="false" outlineLevel="0" collapsed="false">
      <c r="B64" s="21" t="s">
        <v>430</v>
      </c>
      <c r="C64" s="50" t="n">
        <v>0</v>
      </c>
      <c r="D64" s="37" t="n">
        <f aca="false">C64+D15</f>
        <v>0</v>
      </c>
      <c r="E64" s="37" t="n">
        <f aca="false">D64+E15</f>
        <v>0</v>
      </c>
      <c r="F64" s="37" t="n">
        <f aca="false">E64+F15</f>
        <v>0</v>
      </c>
      <c r="G64" s="37" t="n">
        <f aca="false">F64+G15</f>
        <v>0</v>
      </c>
      <c r="H64" s="51" t="s">
        <v>114</v>
      </c>
    </row>
    <row r="65" customFormat="false" ht="15" hidden="false" customHeight="false" outlineLevel="0" collapsed="false">
      <c r="B65" s="21" t="s">
        <v>431</v>
      </c>
      <c r="C65" s="52" t="n">
        <v>0</v>
      </c>
      <c r="D65" s="34" t="n">
        <f aca="false">C65+D42</f>
        <v>0</v>
      </c>
      <c r="E65" s="34" t="n">
        <f aca="false">D65+E42</f>
        <v>0</v>
      </c>
      <c r="F65" s="34" t="n">
        <f aca="false">E65+F42</f>
        <v>0</v>
      </c>
      <c r="G65" s="34" t="n">
        <f aca="false">F65+G42</f>
        <v>0</v>
      </c>
      <c r="H65" s="51" t="s">
        <v>119</v>
      </c>
    </row>
    <row r="66" customFormat="false" ht="15" hidden="false" customHeight="false" outlineLevel="0" collapsed="false">
      <c r="B66" s="21" t="s">
        <v>432</v>
      </c>
      <c r="C66" s="52" t="n">
        <f aca="false">Datos_FMI!$E$34</f>
        <v>132269</v>
      </c>
      <c r="D66" s="34" t="n">
        <f aca="false">meta_bm*(1+D64/100)+D65</f>
        <v>133900</v>
      </c>
      <c r="E66" s="34" t="n">
        <f aca="false">Datos_FMI!$G$34*(1+E64/100)+E65</f>
        <v>148333</v>
      </c>
      <c r="F66" s="34" t="n">
        <f aca="false">Datos_FMI!$H$34*(1+F64/100)+F65</f>
        <v>161304</v>
      </c>
      <c r="G66" s="34" t="n">
        <f aca="false">Datos_FMI!$I$34*(1+G64/100)+G65</f>
        <v>177013</v>
      </c>
      <c r="H66" s="51" t="s">
        <v>119</v>
      </c>
    </row>
    <row r="67" customFormat="false" ht="15" hidden="false" customHeight="false" outlineLevel="0" collapsed="false">
      <c r="B67" s="48" t="s">
        <v>433</v>
      </c>
      <c r="C67" s="49"/>
      <c r="D67" s="49"/>
      <c r="E67" s="49"/>
      <c r="F67" s="49"/>
      <c r="G67" s="49"/>
      <c r="H67" s="49"/>
    </row>
    <row r="68" customFormat="false" ht="15" hidden="false" customHeight="false" outlineLevel="0" collapsed="false">
      <c r="B68" s="21" t="s">
        <v>434</v>
      </c>
      <c r="C68" s="52" t="n">
        <f aca="false">Datos_FMI!$E$14+C11/100*Datos_FMI!$E$9</f>
        <v>5525</v>
      </c>
      <c r="D68" s="34" t="n">
        <f aca="false">Datos_FMI!$F$14+D11/100*Datos_FMI!$F$9</f>
        <v>10890</v>
      </c>
      <c r="E68" s="34" t="n">
        <f aca="false">Datos_FMI!$G$14+E11/100*Datos_FMI!$G$9</f>
        <v>12722.578</v>
      </c>
      <c r="F68" s="34" t="n">
        <f aca="false">Datos_FMI!$H$14+F11/100*Datos_FMI!$H$9</f>
        <v>8064.823</v>
      </c>
      <c r="G68" s="34" t="n">
        <f aca="false">Datos_FMI!$I$14+G11/100*Datos_FMI!$I$9</f>
        <v>8813.142</v>
      </c>
      <c r="H68" s="51" t="s">
        <v>119</v>
      </c>
    </row>
    <row r="69" customFormat="false" ht="15" hidden="false" customHeight="false" outlineLevel="0" collapsed="false">
      <c r="B69" s="21" t="s">
        <v>435</v>
      </c>
      <c r="C69" s="52" t="n">
        <v>0</v>
      </c>
      <c r="D69" s="34" t="n">
        <f aca="false">emp_el*D30/100*pea</f>
        <v>0</v>
      </c>
      <c r="E69" s="34" t="n">
        <f aca="false">emp_el*E30/100*pea</f>
        <v>0</v>
      </c>
      <c r="F69" s="34" t="n">
        <f aca="false">emp_el*F30/100*pea</f>
        <v>0</v>
      </c>
      <c r="G69" s="34" t="n">
        <f aca="false">emp_el*G30/100*pea</f>
        <v>0</v>
      </c>
      <c r="H69" s="51" t="s">
        <v>315</v>
      </c>
    </row>
    <row r="70" customFormat="false" ht="15" hidden="false" customHeight="false" outlineLevel="0" collapsed="false">
      <c r="B70" s="21" t="s">
        <v>436</v>
      </c>
      <c r="C70" s="50" t="n">
        <v>0</v>
      </c>
      <c r="D70" s="37" t="n">
        <f aca="false">-pov_g*D30-pov_soc*D11+pov_pi*D47-pov_sub*D10</f>
        <v>0</v>
      </c>
      <c r="E70" s="37" t="n">
        <f aca="false">-pov_g*E30-pov_soc*E11+pov_pi*E47-pov_sub*E10</f>
        <v>0</v>
      </c>
      <c r="F70" s="37" t="n">
        <f aca="false">-pov_g*F30-pov_soc*F11+pov_pi*F47-pov_sub*F10</f>
        <v>0</v>
      </c>
      <c r="G70" s="37" t="n">
        <f aca="false">-pov_g*G30-pov_soc*G11+pov_pi*G47-pov_sub*G10</f>
        <v>0</v>
      </c>
      <c r="H70" s="51" t="s">
        <v>353</v>
      </c>
    </row>
    <row r="71" customFormat="false" ht="15" hidden="false" customHeight="false" outlineLevel="0" collapsed="false">
      <c r="B71" s="21" t="s">
        <v>437</v>
      </c>
      <c r="C71" s="50" t="n">
        <v>0</v>
      </c>
      <c r="D71" s="37" t="n">
        <f aca="false">-gini_tpr*D13-gini_soc*D11</f>
        <v>-0</v>
      </c>
      <c r="E71" s="37" t="n">
        <f aca="false">-gini_tpr*E13-gini_soc*E11</f>
        <v>-0</v>
      </c>
      <c r="F71" s="37" t="n">
        <f aca="false">-gini_tpr*F13-gini_soc*F11</f>
        <v>-0</v>
      </c>
      <c r="G71" s="37" t="n">
        <f aca="false">-gini_tpr*G13-gini_soc*G11</f>
        <v>-0</v>
      </c>
      <c r="H71" s="51" t="s">
        <v>438</v>
      </c>
    </row>
    <row r="77" customFormat="false" ht="15" hidden="false" customHeight="false" outlineLevel="0" collapsed="false">
      <c r="B77" s="46" t="s">
        <v>360</v>
      </c>
      <c r="C77" s="47"/>
      <c r="D77" s="47"/>
      <c r="E77" s="47"/>
      <c r="F77" s="47"/>
      <c r="G77" s="47"/>
      <c r="H77" s="47"/>
    </row>
    <row r="78" customFormat="false" ht="15" hidden="false" customHeight="false" outlineLevel="0" collapsed="false">
      <c r="B78" s="11" t="s">
        <v>374</v>
      </c>
      <c r="C78" s="11" t="s">
        <v>109</v>
      </c>
      <c r="D78" s="11" t="s">
        <v>99</v>
      </c>
      <c r="E78" s="11" t="s">
        <v>100</v>
      </c>
      <c r="F78" s="11" t="s">
        <v>101</v>
      </c>
      <c r="G78" s="11" t="s">
        <v>102</v>
      </c>
      <c r="H78" s="11" t="s">
        <v>107</v>
      </c>
    </row>
    <row r="79" customFormat="false" ht="15" hidden="false" customHeight="false" outlineLevel="0" collapsed="false">
      <c r="B79" s="48" t="s">
        <v>375</v>
      </c>
      <c r="C79" s="49"/>
      <c r="D79" s="49"/>
      <c r="E79" s="49"/>
      <c r="F79" s="49"/>
      <c r="G79" s="49"/>
      <c r="H79" s="49"/>
    </row>
    <row r="80" customFormat="false" ht="15" hidden="false" customHeight="false" outlineLevel="0" collapsed="false">
      <c r="B80" s="21" t="s">
        <v>376</v>
      </c>
      <c r="C80" s="50" t="n">
        <v>0</v>
      </c>
      <c r="D80" s="16" t="n">
        <f aca="false">Palancas!D26*ef26</f>
        <v>0.125</v>
      </c>
      <c r="E80" s="16" t="n">
        <f aca="false">Palancas!E26*1</f>
        <v>1</v>
      </c>
      <c r="F80" s="16" t="n">
        <f aca="false">Palancas!F26*1</f>
        <v>0.8</v>
      </c>
      <c r="G80" s="16" t="n">
        <f aca="false">Palancas!G26*1</f>
        <v>0.5</v>
      </c>
      <c r="H80" s="51" t="s">
        <v>254</v>
      </c>
    </row>
    <row r="81" customFormat="false" ht="15" hidden="false" customHeight="false" outlineLevel="0" collapsed="false">
      <c r="B81" s="21" t="s">
        <v>377</v>
      </c>
      <c r="C81" s="50" t="n">
        <v>0</v>
      </c>
      <c r="D81" s="16" t="n">
        <f aca="false">Palancas!D27*ef26</f>
        <v>0</v>
      </c>
      <c r="E81" s="16" t="n">
        <f aca="false">Palancas!E27*1</f>
        <v>0</v>
      </c>
      <c r="F81" s="16" t="n">
        <f aca="false">Palancas!F27*1</f>
        <v>0</v>
      </c>
      <c r="G81" s="16" t="n">
        <f aca="false">Palancas!G27*1</f>
        <v>0</v>
      </c>
      <c r="H81" s="51" t="s">
        <v>254</v>
      </c>
    </row>
    <row r="82" customFormat="false" ht="15" hidden="false" customHeight="false" outlineLevel="0" collapsed="false">
      <c r="B82" s="21" t="s">
        <v>378</v>
      </c>
      <c r="C82" s="50" t="n">
        <v>0</v>
      </c>
      <c r="D82" s="16" t="n">
        <f aca="false">Palancas!D28*ef26</f>
        <v>0</v>
      </c>
      <c r="E82" s="16" t="n">
        <f aca="false">Palancas!E28*1</f>
        <v>0</v>
      </c>
      <c r="F82" s="16" t="n">
        <f aca="false">Palancas!F28*1</f>
        <v>0</v>
      </c>
      <c r="G82" s="16" t="n">
        <f aca="false">Palancas!G28*1</f>
        <v>0</v>
      </c>
      <c r="H82" s="51" t="s">
        <v>254</v>
      </c>
    </row>
    <row r="83" customFormat="false" ht="15" hidden="false" customHeight="false" outlineLevel="0" collapsed="false">
      <c r="B83" s="21" t="s">
        <v>379</v>
      </c>
      <c r="C83" s="50" t="n">
        <v>0</v>
      </c>
      <c r="D83" s="16" t="n">
        <f aca="false">Palancas!D29*ef26</f>
        <v>0</v>
      </c>
      <c r="E83" s="16" t="n">
        <f aca="false">Palancas!E29*1</f>
        <v>0</v>
      </c>
      <c r="F83" s="16" t="n">
        <f aca="false">Palancas!F29*1</f>
        <v>0</v>
      </c>
      <c r="G83" s="16" t="n">
        <f aca="false">Palancas!G29*1</f>
        <v>0</v>
      </c>
      <c r="H83" s="51" t="s">
        <v>254</v>
      </c>
    </row>
    <row r="84" customFormat="false" ht="15" hidden="false" customHeight="false" outlineLevel="0" collapsed="false">
      <c r="B84" s="21" t="s">
        <v>380</v>
      </c>
      <c r="C84" s="50" t="n">
        <v>0</v>
      </c>
      <c r="D84" s="16" t="n">
        <f aca="false">Palancas!D30*ef26*r_tev</f>
        <v>0</v>
      </c>
      <c r="E84" s="16" t="n">
        <f aca="false">Palancas!E30*1*r_tev</f>
        <v>0</v>
      </c>
      <c r="F84" s="16" t="n">
        <f aca="false">Palancas!F30*1*r_tev</f>
        <v>0</v>
      </c>
      <c r="G84" s="16" t="n">
        <f aca="false">Palancas!G30*1*r_tev</f>
        <v>0</v>
      </c>
      <c r="H84" s="51" t="s">
        <v>254</v>
      </c>
    </row>
    <row r="85" customFormat="false" ht="15" hidden="false" customHeight="false" outlineLevel="0" collapsed="false">
      <c r="B85" s="21" t="s">
        <v>381</v>
      </c>
      <c r="C85" s="50" t="n">
        <v>0</v>
      </c>
      <c r="D85" s="16" t="n">
        <f aca="false">Palancas!D31*ef26*r_tpr</f>
        <v>0</v>
      </c>
      <c r="E85" s="16" t="n">
        <f aca="false">Palancas!E31*1*r_tpr</f>
        <v>0</v>
      </c>
      <c r="F85" s="16" t="n">
        <f aca="false">Palancas!F31*1*r_tpr</f>
        <v>0</v>
      </c>
      <c r="G85" s="16" t="n">
        <f aca="false">Palancas!G31*1*r_tpr</f>
        <v>0</v>
      </c>
      <c r="H85" s="51" t="s">
        <v>254</v>
      </c>
    </row>
    <row r="86" customFormat="false" ht="15" hidden="false" customHeight="false" outlineLevel="0" collapsed="false">
      <c r="B86" s="21" t="s">
        <v>382</v>
      </c>
      <c r="C86" s="50" t="n">
        <v>0</v>
      </c>
      <c r="D86" s="16" t="n">
        <f aca="false">Palancas!D32*ef26*r_tex</f>
        <v>0</v>
      </c>
      <c r="E86" s="16" t="n">
        <f aca="false">Palancas!E32*1*r_tex</f>
        <v>0</v>
      </c>
      <c r="F86" s="16" t="n">
        <f aca="false">Palancas!F32*1*r_tex</f>
        <v>0</v>
      </c>
      <c r="G86" s="16" t="n">
        <f aca="false">Palancas!G32*1*r_tex</f>
        <v>0</v>
      </c>
      <c r="H86" s="51" t="s">
        <v>254</v>
      </c>
    </row>
    <row r="87" customFormat="false" ht="15" hidden="false" customHeight="false" outlineLevel="0" collapsed="false">
      <c r="B87" s="21" t="s">
        <v>383</v>
      </c>
      <c r="C87" s="50" t="n">
        <v>0</v>
      </c>
      <c r="D87" s="16" t="n">
        <f aca="false">Palancas!D33*ef26</f>
        <v>0</v>
      </c>
      <c r="E87" s="16" t="n">
        <f aca="false">Palancas!E33*1</f>
        <v>0</v>
      </c>
      <c r="F87" s="16" t="n">
        <f aca="false">Palancas!F33*1</f>
        <v>0</v>
      </c>
      <c r="G87" s="16" t="n">
        <f aca="false">Palancas!G33*1</f>
        <v>0</v>
      </c>
      <c r="H87" s="51" t="s">
        <v>353</v>
      </c>
    </row>
    <row r="88" customFormat="false" ht="15" hidden="false" customHeight="false" outlineLevel="0" collapsed="false">
      <c r="B88" s="21" t="s">
        <v>384</v>
      </c>
      <c r="C88" s="50" t="n">
        <v>0</v>
      </c>
      <c r="D88" s="16" t="n">
        <f aca="false">Palancas!D34*ef26</f>
        <v>0</v>
      </c>
      <c r="E88" s="16" t="n">
        <f aca="false">Palancas!E34*1</f>
        <v>0</v>
      </c>
      <c r="F88" s="16" t="n">
        <f aca="false">Palancas!F34*1</f>
        <v>0</v>
      </c>
      <c r="G88" s="16" t="n">
        <f aca="false">Palancas!G34*1</f>
        <v>0</v>
      </c>
      <c r="H88" s="51" t="s">
        <v>353</v>
      </c>
    </row>
    <row r="89" customFormat="false" ht="15" hidden="false" customHeight="false" outlineLevel="0" collapsed="false">
      <c r="B89" s="21" t="s">
        <v>385</v>
      </c>
      <c r="C89" s="50" t="n">
        <v>0</v>
      </c>
      <c r="D89" s="16" t="n">
        <f aca="false">Palancas!D35*ef26</f>
        <v>0</v>
      </c>
      <c r="E89" s="16" t="n">
        <f aca="false">Palancas!E35*1</f>
        <v>0</v>
      </c>
      <c r="F89" s="16" t="n">
        <f aca="false">Palancas!F35*1</f>
        <v>0</v>
      </c>
      <c r="G89" s="16" t="n">
        <f aca="false">Palancas!G35*1</f>
        <v>0</v>
      </c>
      <c r="H89" s="51" t="s">
        <v>353</v>
      </c>
    </row>
    <row r="90" customFormat="false" ht="15" hidden="false" customHeight="false" outlineLevel="0" collapsed="false">
      <c r="B90" s="21" t="s">
        <v>386</v>
      </c>
      <c r="C90" s="52" t="n">
        <v>0</v>
      </c>
      <c r="D90" s="14" t="n">
        <f aca="false">Palancas!D36</f>
        <v>100</v>
      </c>
      <c r="E90" s="14" t="n">
        <f aca="false">Palancas!E36</f>
        <v>500</v>
      </c>
      <c r="F90" s="14" t="n">
        <f aca="false">Palancas!F36</f>
        <v>400</v>
      </c>
      <c r="G90" s="14" t="n">
        <f aca="false">Palancas!G36</f>
        <v>200</v>
      </c>
      <c r="H90" s="51" t="s">
        <v>140</v>
      </c>
    </row>
    <row r="91" customFormat="false" ht="15" hidden="false" customHeight="false" outlineLevel="0" collapsed="false">
      <c r="B91" s="21" t="s">
        <v>387</v>
      </c>
      <c r="C91" s="52" t="n">
        <v>0</v>
      </c>
      <c r="D91" s="14" t="n">
        <f aca="false">Palancas!D37</f>
        <v>0</v>
      </c>
      <c r="E91" s="14" t="n">
        <f aca="false">Palancas!E37</f>
        <v>0</v>
      </c>
      <c r="F91" s="14" t="n">
        <f aca="false">Palancas!F37</f>
        <v>0</v>
      </c>
      <c r="G91" s="14" t="n">
        <f aca="false">Palancas!G37</f>
        <v>0</v>
      </c>
      <c r="H91" s="51" t="s">
        <v>140</v>
      </c>
    </row>
    <row r="92" customFormat="false" ht="15" hidden="false" customHeight="false" outlineLevel="0" collapsed="false">
      <c r="B92" s="48" t="s">
        <v>388</v>
      </c>
      <c r="C92" s="49"/>
      <c r="D92" s="49"/>
      <c r="E92" s="49"/>
      <c r="F92" s="49"/>
      <c r="G92" s="49"/>
      <c r="H92" s="49"/>
    </row>
    <row r="93" customFormat="false" ht="15" hidden="false" customHeight="false" outlineLevel="0" collapsed="false">
      <c r="B93" s="21" t="s">
        <v>389</v>
      </c>
      <c r="C93" s="50" t="n">
        <f aca="false">C80+C81+C82+C83</f>
        <v>0</v>
      </c>
      <c r="D93" s="37" t="n">
        <f aca="false">D80+D81+D82+D83</f>
        <v>0.125</v>
      </c>
      <c r="E93" s="37" t="n">
        <f aca="false">E80+E81+E82+E83</f>
        <v>1</v>
      </c>
      <c r="F93" s="37" t="n">
        <f aca="false">F80+F81+F82+F83</f>
        <v>0.8</v>
      </c>
      <c r="G93" s="37" t="n">
        <f aca="false">G80+G81+G82+G83</f>
        <v>0.5</v>
      </c>
      <c r="H93" s="51" t="s">
        <v>254</v>
      </c>
    </row>
    <row r="94" customFormat="false" ht="15" hidden="false" customHeight="false" outlineLevel="0" collapsed="false">
      <c r="B94" s="21" t="s">
        <v>390</v>
      </c>
      <c r="C94" s="50" t="n">
        <f aca="false">C84+C85+C86</f>
        <v>0</v>
      </c>
      <c r="D94" s="37" t="n">
        <f aca="false">D84+D85+D86</f>
        <v>0</v>
      </c>
      <c r="E94" s="37" t="n">
        <f aca="false">E84+E85+E86</f>
        <v>0</v>
      </c>
      <c r="F94" s="37" t="n">
        <f aca="false">F84+F85+F86</f>
        <v>0</v>
      </c>
      <c r="G94" s="37" t="n">
        <f aca="false">G84+G85+G86</f>
        <v>0</v>
      </c>
      <c r="H94" s="51" t="s">
        <v>254</v>
      </c>
    </row>
    <row r="95" customFormat="false" ht="15" hidden="false" customHeight="false" outlineLevel="0" collapsed="false">
      <c r="B95" s="21" t="s">
        <v>391</v>
      </c>
      <c r="C95" s="50" t="n">
        <f aca="false">C94-C93</f>
        <v>0</v>
      </c>
      <c r="D95" s="37" t="n">
        <f aca="false">D94-D93</f>
        <v>-0.125</v>
      </c>
      <c r="E95" s="37" t="n">
        <f aca="false">E94-E93</f>
        <v>-1</v>
      </c>
      <c r="F95" s="37" t="n">
        <f aca="false">F94-F93</f>
        <v>-0.8</v>
      </c>
      <c r="G95" s="37" t="n">
        <f aca="false">G94-G93</f>
        <v>-0.5</v>
      </c>
      <c r="H95" s="51" t="s">
        <v>254</v>
      </c>
    </row>
    <row r="96" customFormat="false" ht="15" hidden="false" customHeight="false" outlineLevel="0" collapsed="false">
      <c r="B96" s="48" t="s">
        <v>392</v>
      </c>
      <c r="C96" s="49"/>
      <c r="D96" s="49"/>
      <c r="E96" s="49"/>
      <c r="F96" s="49"/>
      <c r="G96" s="49"/>
      <c r="H96" s="49"/>
    </row>
    <row r="97" customFormat="false" ht="15" hidden="false" customHeight="false" outlineLevel="0" collapsed="false">
      <c r="B97" s="21" t="s">
        <v>393</v>
      </c>
      <c r="C97" s="50" t="n">
        <v>0</v>
      </c>
      <c r="D97" s="37" t="n">
        <f aca="false">D88+bm_cred*D87-crowd*C113/(Datos_FMI!$F$33/100)</f>
        <v>0</v>
      </c>
      <c r="E97" s="37" t="n">
        <f aca="false">E88+bm_cred*E87-crowd*D113/(Datos_FMI!$G$33/100)</f>
        <v>0</v>
      </c>
      <c r="F97" s="37" t="n">
        <f aca="false">F88+bm_cred*F87-crowd*E113/(Datos_FMI!$H$33/100)</f>
        <v>0</v>
      </c>
      <c r="G97" s="37" t="n">
        <f aca="false">G88+bm_cred*G87-crowd*F113/(Datos_FMI!$I$33/100)</f>
        <v>0</v>
      </c>
      <c r="H97" s="51" t="s">
        <v>353</v>
      </c>
    </row>
    <row r="98" customFormat="false" ht="15" hidden="false" customHeight="false" outlineLevel="0" collapsed="false">
      <c r="B98" s="21" t="s">
        <v>394</v>
      </c>
      <c r="C98" s="50" t="n">
        <v>0</v>
      </c>
      <c r="D98" s="37" t="n">
        <f aca="false">C98+D80</f>
        <v>0.125</v>
      </c>
      <c r="E98" s="37" t="n">
        <f aca="false">D98+E80</f>
        <v>1.125</v>
      </c>
      <c r="F98" s="37" t="n">
        <f aca="false">E98+F80</f>
        <v>1.925</v>
      </c>
      <c r="G98" s="37" t="n">
        <f aca="false">F98+G80</f>
        <v>2.425</v>
      </c>
      <c r="H98" s="51" t="s">
        <v>254</v>
      </c>
    </row>
    <row r="99" customFormat="false" ht="15" hidden="false" customHeight="false" outlineLevel="0" collapsed="false">
      <c r="B99" s="21" t="s">
        <v>395</v>
      </c>
      <c r="C99" s="50" t="n">
        <v>0</v>
      </c>
      <c r="D99" s="37" t="n">
        <f aca="false">kappa*MAX(0,-D95-tol)</f>
        <v>0</v>
      </c>
      <c r="E99" s="37" t="n">
        <f aca="false">kappa*MAX(0,-E95-tol)</f>
        <v>0.15</v>
      </c>
      <c r="F99" s="37" t="n">
        <f aca="false">kappa*MAX(0,-F95-tol)</f>
        <v>0.09</v>
      </c>
      <c r="G99" s="37" t="n">
        <f aca="false">kappa*MAX(0,-G95-tol)</f>
        <v>0</v>
      </c>
      <c r="H99" s="51" t="s">
        <v>353</v>
      </c>
    </row>
    <row r="100" customFormat="false" ht="15" hidden="false" customHeight="false" outlineLevel="0" collapsed="false">
      <c r="B100" s="21" t="s">
        <v>396</v>
      </c>
      <c r="C100" s="50" t="n">
        <v>0</v>
      </c>
      <c r="D100" s="37" t="n">
        <f aca="false">m_inv*D80+m_cur*D81+m_sub*D82+m_soc*D83-(m_tev*D84+m_tpr*D85+m_tex*D86)+eps_cred*D97+s_inv*C98+nu_dep*D89-D99</f>
        <v>0.0875</v>
      </c>
      <c r="E100" s="37" t="n">
        <f aca="false">m_inv*E80+m_cur*E81+m_sub*E82+m_soc*E83-(m_tev*E84+m_tpr*E85+m_tex*E86)+eps_cred*E97+s_inv*D98+nu_dep*E89-E99</f>
        <v>0.5625</v>
      </c>
      <c r="F100" s="37" t="n">
        <f aca="false">m_inv*F80+m_cur*F81+m_sub*F82+m_soc*F83-(m_tev*F84+m_tpr*F85+m_tex*F86)+eps_cred*F97+s_inv*E98+nu_dep*F89-F99</f>
        <v>0.5825</v>
      </c>
      <c r="G100" s="37" t="n">
        <f aca="false">m_inv*G80+m_cur*G81+m_sub*G82+m_soc*G83-(m_tev*G84+m_tpr*G85+m_tex*G86)+eps_cred*G97+s_inv*F98+nu_dep*G89-G99</f>
        <v>0.5425</v>
      </c>
      <c r="H100" s="51" t="s">
        <v>353</v>
      </c>
    </row>
    <row r="101" customFormat="false" ht="15" hidden="false" customHeight="false" outlineLevel="0" collapsed="false">
      <c r="B101" s="21" t="s">
        <v>397</v>
      </c>
      <c r="C101" s="50" t="n">
        <f aca="false">Datos_FMI!$E$6+C100</f>
        <v>-1.6</v>
      </c>
      <c r="D101" s="37" t="n">
        <f aca="false">Datos_FMI!$F$6+D100</f>
        <v>-2.9125</v>
      </c>
      <c r="E101" s="37" t="n">
        <f aca="false">Datos_FMI!$G$6+E100</f>
        <v>-0.9375</v>
      </c>
      <c r="F101" s="37" t="n">
        <f aca="false">Datos_FMI!$H$6+F100</f>
        <v>1.0825</v>
      </c>
      <c r="G101" s="37" t="n">
        <f aca="false">Datos_FMI!$I$6+G100</f>
        <v>3.0425</v>
      </c>
      <c r="H101" s="51" t="s">
        <v>114</v>
      </c>
    </row>
    <row r="102" customFormat="false" ht="15" hidden="false" customHeight="false" outlineLevel="0" collapsed="false">
      <c r="B102" s="21" t="s">
        <v>398</v>
      </c>
      <c r="C102" s="50" t="n">
        <v>0</v>
      </c>
      <c r="D102" s="37" t="n">
        <f aca="false">C102+D100</f>
        <v>0.0875</v>
      </c>
      <c r="E102" s="37" t="n">
        <f aca="false">D102+E100</f>
        <v>0.65</v>
      </c>
      <c r="F102" s="37" t="n">
        <f aca="false">E102+F100</f>
        <v>1.2325</v>
      </c>
      <c r="G102" s="37" t="n">
        <f aca="false">F102+G100</f>
        <v>1.775</v>
      </c>
      <c r="H102" s="51" t="s">
        <v>114</v>
      </c>
    </row>
    <row r="103" customFormat="false" ht="15" hidden="false" customHeight="false" outlineLevel="0" collapsed="false">
      <c r="B103" s="48" t="s">
        <v>399</v>
      </c>
      <c r="C103" s="49"/>
      <c r="D103" s="49"/>
      <c r="E103" s="49"/>
      <c r="F103" s="49"/>
      <c r="G103" s="49"/>
      <c r="H103" s="49"/>
    </row>
    <row r="104" customFormat="false" ht="15" hidden="false" customHeight="false" outlineLevel="0" collapsed="false">
      <c r="B104" s="21" t="s">
        <v>400</v>
      </c>
      <c r="C104" s="50" t="n">
        <v>0</v>
      </c>
      <c r="D104" s="37" t="n">
        <f aca="false">D95+auto*D100</f>
        <v>-0.1075</v>
      </c>
      <c r="E104" s="37" t="n">
        <f aca="false">E95+auto*E100</f>
        <v>-0.8875</v>
      </c>
      <c r="F104" s="37" t="n">
        <f aca="false">F95+auto*F100</f>
        <v>-0.6835</v>
      </c>
      <c r="G104" s="37" t="n">
        <f aca="false">G95+auto*G100</f>
        <v>-0.3915</v>
      </c>
      <c r="H104" s="51" t="s">
        <v>254</v>
      </c>
    </row>
    <row r="105" customFormat="false" ht="15" hidden="false" customHeight="false" outlineLevel="0" collapsed="false">
      <c r="B105" s="21" t="s">
        <v>401</v>
      </c>
      <c r="C105" s="50" t="n">
        <f aca="false">Datos_FMI!$E$17+C104</f>
        <v>-8.8</v>
      </c>
      <c r="D105" s="37" t="n">
        <f aca="false">Datos_FMI!$F$17+D104</f>
        <v>-6.6075</v>
      </c>
      <c r="E105" s="37" t="n">
        <f aca="false">Datos_FMI!$G$17+E104</f>
        <v>-3.8875</v>
      </c>
      <c r="F105" s="37" t="n">
        <f aca="false">Datos_FMI!$H$17+F104</f>
        <v>-0.9835</v>
      </c>
      <c r="G105" s="37" t="n">
        <f aca="false">Datos_FMI!$I$17+G104</f>
        <v>0.2085</v>
      </c>
      <c r="H105" s="51" t="s">
        <v>122</v>
      </c>
    </row>
    <row r="106" customFormat="false" ht="15" hidden="false" customHeight="false" outlineLevel="0" collapsed="false">
      <c r="B106" s="21" t="s">
        <v>401</v>
      </c>
      <c r="C106" s="52" t="n">
        <f aca="false">Datos_FMI!$E$18+C104/100*Datos_FMI!$E$9</f>
        <v>-39587</v>
      </c>
      <c r="D106" s="34" t="n">
        <f aca="false">Datos_FMI!$F$18+D104/100*Datos_FMI!$F$9</f>
        <v>-33413.370325</v>
      </c>
      <c r="E106" s="34" t="n">
        <f aca="false">Datos_FMI!$G$18+E104/100*Datos_FMI!$G$9</f>
        <v>-22598.403625</v>
      </c>
      <c r="F106" s="34" t="n">
        <f aca="false">Datos_FMI!$H$18+F104/100*Datos_FMI!$H$9</f>
        <v>-6101.348785</v>
      </c>
      <c r="G106" s="34" t="n">
        <f aca="false">Datos_FMI!$I$18+G104/100*Datos_FMI!$I$9</f>
        <v>1413.49239</v>
      </c>
      <c r="H106" s="51" t="s">
        <v>119</v>
      </c>
    </row>
    <row r="107" customFormat="false" ht="15" hidden="false" customHeight="false" outlineLevel="0" collapsed="false">
      <c r="B107" s="21" t="s">
        <v>402</v>
      </c>
      <c r="C107" s="50" t="n">
        <v>0</v>
      </c>
      <c r="D107" s="37" t="n">
        <f aca="false">r_int*C126/Datos_FMI!$F$9*100</f>
        <v>0</v>
      </c>
      <c r="E107" s="37" t="n">
        <f aca="false">r_int*D126/Datos_FMI!$G$9*100</f>
        <v>0.00611864643117142</v>
      </c>
      <c r="F107" s="37" t="n">
        <f aca="false">r_int*E126/Datos_FMI!$H$9*100</f>
        <v>0.0598497143440175</v>
      </c>
      <c r="G107" s="37" t="n">
        <f aca="false">r_int*F126/Datos_FMI!$I$9*100</f>
        <v>0.0989830079384392</v>
      </c>
      <c r="H107" s="51" t="s">
        <v>254</v>
      </c>
    </row>
    <row r="108" customFormat="false" ht="15" hidden="false" customHeight="false" outlineLevel="0" collapsed="false">
      <c r="B108" s="21" t="s">
        <v>403</v>
      </c>
      <c r="C108" s="50" t="n">
        <v>0</v>
      </c>
      <c r="D108" s="37" t="n">
        <f aca="false">D104-D107</f>
        <v>-0.1075</v>
      </c>
      <c r="E108" s="37" t="n">
        <f aca="false">E104-E107</f>
        <v>-0.893618646431171</v>
      </c>
      <c r="F108" s="37" t="n">
        <f aca="false">F104-F107</f>
        <v>-0.743349714344018</v>
      </c>
      <c r="G108" s="37" t="n">
        <f aca="false">G104-G107</f>
        <v>-0.490483007938439</v>
      </c>
      <c r="H108" s="51" t="s">
        <v>254</v>
      </c>
    </row>
    <row r="109" customFormat="false" ht="15" hidden="false" customHeight="false" outlineLevel="0" collapsed="false">
      <c r="B109" s="21" t="s">
        <v>404</v>
      </c>
      <c r="C109" s="50" t="n">
        <f aca="false">Datos_FMI!$E$19+C108</f>
        <v>-11.4</v>
      </c>
      <c r="D109" s="37" t="n">
        <f aca="false">Datos_FMI!$F$19+D108</f>
        <v>-9.3075</v>
      </c>
      <c r="E109" s="37" t="n">
        <f aca="false">Datos_FMI!$G$19+E108</f>
        <v>-7.59361864643117</v>
      </c>
      <c r="F109" s="37" t="n">
        <f aca="false">Datos_FMI!$H$19+F108</f>
        <v>-4.74334971434402</v>
      </c>
      <c r="G109" s="37" t="n">
        <f aca="false">Datos_FMI!$I$19+G108</f>
        <v>-3.69048300793844</v>
      </c>
      <c r="H109" s="51" t="s">
        <v>122</v>
      </c>
    </row>
    <row r="110" customFormat="false" ht="15" hidden="false" customHeight="false" outlineLevel="0" collapsed="false">
      <c r="B110" s="21" t="s">
        <v>405</v>
      </c>
      <c r="C110" s="52" t="n">
        <v>0</v>
      </c>
      <c r="D110" s="34" t="n">
        <f aca="false">-D108/100*Datos_FMI!$F$9</f>
        <v>544.370325</v>
      </c>
      <c r="E110" s="34" t="n">
        <f aca="false">-E108/100*Datos_FMI!$G$9</f>
        <v>5167.787696125</v>
      </c>
      <c r="F110" s="34" t="n">
        <f aca="false">-F108/100*Datos_FMI!$H$9</f>
        <v>4611.52605637313</v>
      </c>
      <c r="G110" s="34" t="n">
        <f aca="false">-G108/100*Datos_FMI!$I$9</f>
        <v>3325.15107503738</v>
      </c>
      <c r="H110" s="51" t="s">
        <v>119</v>
      </c>
    </row>
    <row r="111" customFormat="false" ht="15" hidden="false" customHeight="false" outlineLevel="0" collapsed="false">
      <c r="B111" s="21" t="s">
        <v>386</v>
      </c>
      <c r="C111" s="52" t="n">
        <v>0</v>
      </c>
      <c r="D111" s="34" t="n">
        <f aca="false">D90*D118</f>
        <v>940.463592699328</v>
      </c>
      <c r="E111" s="34" t="n">
        <f aca="false">E90*E118</f>
        <v>6581.65784163371</v>
      </c>
      <c r="F111" s="34" t="n">
        <f aca="false">F90*F118</f>
        <v>5348.83482075329</v>
      </c>
      <c r="G111" s="34" t="n">
        <f aca="false">G90*G118</f>
        <v>2713.66743589744</v>
      </c>
      <c r="H111" s="51" t="s">
        <v>119</v>
      </c>
    </row>
    <row r="112" customFormat="false" ht="15" hidden="false" customHeight="false" outlineLevel="0" collapsed="false">
      <c r="B112" s="21" t="s">
        <v>406</v>
      </c>
      <c r="C112" s="52" t="n">
        <v>0</v>
      </c>
      <c r="D112" s="34" t="n">
        <f aca="false">MIN(cap_dom/100*Datos_FMI!$F$9,MAX(0,D110-D111))</f>
        <v>0</v>
      </c>
      <c r="E112" s="34" t="n">
        <f aca="false">MIN(cap_dom/100*Datos_FMI!$G$9,MAX(0,E110-E111))</f>
        <v>0</v>
      </c>
      <c r="F112" s="34" t="n">
        <f aca="false">MIN(cap_dom/100*Datos_FMI!$H$9,MAX(0,F110-F111))</f>
        <v>0</v>
      </c>
      <c r="G112" s="34" t="n">
        <f aca="false">MIN(cap_dom/100*Datos_FMI!$I$9,MAX(0,G110-G111))</f>
        <v>611.483639139943</v>
      </c>
      <c r="H112" s="51" t="s">
        <v>119</v>
      </c>
    </row>
    <row r="113" customFormat="false" ht="15" hidden="false" customHeight="false" outlineLevel="0" collapsed="false">
      <c r="B113" s="21" t="s">
        <v>407</v>
      </c>
      <c r="C113" s="50" t="n">
        <v>0</v>
      </c>
      <c r="D113" s="37" t="n">
        <f aca="false">D112/Datos_FMI!$F$9*100</f>
        <v>0</v>
      </c>
      <c r="E113" s="37" t="n">
        <f aca="false">E112/Datos_FMI!$G$9*100</f>
        <v>0</v>
      </c>
      <c r="F113" s="37" t="n">
        <f aca="false">F112/Datos_FMI!$H$9*100</f>
        <v>0</v>
      </c>
      <c r="G113" s="37" t="n">
        <f aca="false">G112/Datos_FMI!$I$9*100</f>
        <v>0.0901981076535389</v>
      </c>
      <c r="H113" s="51" t="s">
        <v>254</v>
      </c>
    </row>
    <row r="114" customFormat="false" ht="15" hidden="false" customHeight="false" outlineLevel="0" collapsed="false">
      <c r="B114" s="21" t="s">
        <v>408</v>
      </c>
      <c r="C114" s="52" t="n">
        <v>0</v>
      </c>
      <c r="D114" s="34" t="n">
        <f aca="false">MAX(0,D110-D111-D112)</f>
        <v>0</v>
      </c>
      <c r="E114" s="34" t="n">
        <f aca="false">MAX(0,E110-E111-E112)</f>
        <v>0</v>
      </c>
      <c r="F114" s="34" t="n">
        <f aca="false">MAX(0,F110-F111-F112)</f>
        <v>0</v>
      </c>
      <c r="G114" s="34" t="n">
        <f aca="false">MAX(0,G110-G111-G112)</f>
        <v>0</v>
      </c>
      <c r="H114" s="51" t="s">
        <v>119</v>
      </c>
    </row>
    <row r="115" customFormat="false" ht="15" hidden="false" customHeight="false" outlineLevel="0" collapsed="false">
      <c r="B115" s="48" t="s">
        <v>409</v>
      </c>
      <c r="C115" s="49"/>
      <c r="D115" s="49"/>
      <c r="E115" s="49"/>
      <c r="F115" s="49"/>
      <c r="G115" s="49"/>
      <c r="H115" s="49"/>
    </row>
    <row r="116" customFormat="false" ht="15" hidden="false" customHeight="false" outlineLevel="0" collapsed="false">
      <c r="B116" s="21" t="s">
        <v>410</v>
      </c>
      <c r="C116" s="50" t="n">
        <v>0</v>
      </c>
      <c r="D116" s="37" t="n">
        <f aca="false">D89+bm_dep*D87</f>
        <v>0</v>
      </c>
      <c r="E116" s="37" t="n">
        <f aca="false">E89+bm_dep*E87</f>
        <v>0</v>
      </c>
      <c r="F116" s="37" t="n">
        <f aca="false">F89+bm_dep*F87</f>
        <v>0</v>
      </c>
      <c r="G116" s="37" t="n">
        <f aca="false">G89+bm_dep*G87</f>
        <v>0</v>
      </c>
      <c r="H116" s="51" t="s">
        <v>353</v>
      </c>
    </row>
    <row r="117" customFormat="false" ht="15" hidden="false" customHeight="false" outlineLevel="0" collapsed="false">
      <c r="B117" s="21" t="s">
        <v>411</v>
      </c>
      <c r="C117" s="50" t="n">
        <v>0</v>
      </c>
      <c r="D117" s="37" t="n">
        <f aca="false">C117+D116</f>
        <v>0</v>
      </c>
      <c r="E117" s="37" t="n">
        <f aca="false">D117+E116</f>
        <v>0</v>
      </c>
      <c r="F117" s="37" t="n">
        <f aca="false">E117+F116</f>
        <v>0</v>
      </c>
      <c r="G117" s="37" t="n">
        <f aca="false">F117+G116</f>
        <v>0</v>
      </c>
      <c r="H117" s="51" t="s">
        <v>114</v>
      </c>
    </row>
    <row r="118" customFormat="false" ht="15" hidden="false" customHeight="false" outlineLevel="0" collapsed="false">
      <c r="B118" s="21" t="s">
        <v>412</v>
      </c>
      <c r="C118" s="50" t="n">
        <f aca="false">12.8</f>
        <v>12.8</v>
      </c>
      <c r="D118" s="37" t="n">
        <f aca="false">Datos_FMI!$F$42*(1+D117/100)</f>
        <v>9.40463592699328</v>
      </c>
      <c r="E118" s="37" t="n">
        <f aca="false">Datos_FMI!$G$42*(1+E117/100)</f>
        <v>13.1633156832674</v>
      </c>
      <c r="F118" s="37" t="n">
        <f aca="false">Datos_FMI!$H$42*(1+F117/100)</f>
        <v>13.3720870518832</v>
      </c>
      <c r="G118" s="37" t="n">
        <f aca="false">Datos_FMI!$I$42*(1+G117/100)</f>
        <v>13.5683371794872</v>
      </c>
      <c r="H118" s="51" t="s">
        <v>168</v>
      </c>
    </row>
    <row r="119" customFormat="false" ht="15" hidden="false" customHeight="false" outlineLevel="0" collapsed="false">
      <c r="B119" s="21" t="s">
        <v>413</v>
      </c>
      <c r="C119" s="50" t="n">
        <v>0</v>
      </c>
      <c r="D119" s="37" t="n">
        <f aca="false">-phi_sub*(D82-C82)+mu_bm*(D87+D114/Datos_FMI!$F$34*100)+eta*D100+psi*D116+tax_pi*D84</f>
        <v>0.021875</v>
      </c>
      <c r="E119" s="37" t="n">
        <f aca="false">-phi_sub*(E82-D82)+mu_bm*(E87+E114/Datos_FMI!$G$34*100)+eta*E100+psi*E116+tax_pi*E84</f>
        <v>0.140625</v>
      </c>
      <c r="F119" s="37" t="n">
        <f aca="false">-phi_sub*(F82-E82)+mu_bm*(F87+F114/Datos_FMI!$H$34*100)+eta*F100+psi*F116+tax_pi*F84</f>
        <v>0.145625</v>
      </c>
      <c r="G119" s="37" t="n">
        <f aca="false">-phi_sub*(G82-F82)+mu_bm*(G87+G114/Datos_FMI!$I$34*100)+eta*G100+psi*G116+tax_pi*G84</f>
        <v>0.135625</v>
      </c>
      <c r="H119" s="51" t="s">
        <v>353</v>
      </c>
    </row>
    <row r="120" customFormat="false" ht="15" hidden="false" customHeight="false" outlineLevel="0" collapsed="false">
      <c r="B120" s="21" t="s">
        <v>414</v>
      </c>
      <c r="C120" s="50" t="n">
        <f aca="false">Datos_FMI!$E$7+C119</f>
        <v>19.5</v>
      </c>
      <c r="D120" s="37" t="n">
        <f aca="false">Datos_FMI!$F$7+D119</f>
        <v>12.721875</v>
      </c>
      <c r="E120" s="37" t="n">
        <f aca="false">Datos_FMI!$G$7+E119</f>
        <v>15.940625</v>
      </c>
      <c r="F120" s="37" t="n">
        <f aca="false">Datos_FMI!$H$7+F119</f>
        <v>8.345625</v>
      </c>
      <c r="G120" s="37" t="n">
        <f aca="false">Datos_FMI!$I$7+G119</f>
        <v>7.435625</v>
      </c>
      <c r="H120" s="51" t="s">
        <v>114</v>
      </c>
    </row>
    <row r="121" customFormat="false" ht="15" hidden="false" customHeight="false" outlineLevel="0" collapsed="false">
      <c r="B121" s="21" t="s">
        <v>415</v>
      </c>
      <c r="C121" s="50" t="n">
        <f aca="false">Datos_FMI!$E$8+C119</f>
        <v>20.4</v>
      </c>
      <c r="D121" s="37" t="n">
        <f aca="false">Datos_FMI!$F$8+D119</f>
        <v>14.221875</v>
      </c>
      <c r="E121" s="37" t="n">
        <f aca="false">Datos_FMI!$G$8+E119</f>
        <v>10.840625</v>
      </c>
      <c r="F121" s="37" t="n">
        <f aca="false">Datos_FMI!$H$8+F119</f>
        <v>8.845625</v>
      </c>
      <c r="G121" s="37" t="n">
        <f aca="false">Datos_FMI!$I$8+G119</f>
        <v>6.335625</v>
      </c>
      <c r="H121" s="51" t="s">
        <v>114</v>
      </c>
    </row>
    <row r="122" customFormat="false" ht="15" hidden="false" customHeight="false" outlineLevel="0" collapsed="false">
      <c r="B122" s="21" t="s">
        <v>416</v>
      </c>
      <c r="C122" s="50" t="n">
        <v>0</v>
      </c>
      <c r="D122" s="37" t="n">
        <f aca="false">C122+D119</f>
        <v>0.021875</v>
      </c>
      <c r="E122" s="37" t="n">
        <f aca="false">D122+E119</f>
        <v>0.1625</v>
      </c>
      <c r="F122" s="37" t="n">
        <f aca="false">E122+F119</f>
        <v>0.308125</v>
      </c>
      <c r="G122" s="37" t="n">
        <f aca="false">F122+G119</f>
        <v>0.44375</v>
      </c>
      <c r="H122" s="51" t="s">
        <v>114</v>
      </c>
    </row>
    <row r="123" customFormat="false" ht="15" hidden="false" customHeight="false" outlineLevel="0" collapsed="false">
      <c r="B123" s="21" t="s">
        <v>417</v>
      </c>
      <c r="C123" s="52" t="n">
        <f aca="false">Datos_FMI!$E$9*(1+C102/100)*(1+C122/100)</f>
        <v>447553</v>
      </c>
      <c r="D123" s="34" t="n">
        <f aca="false">Datos_FMI!$F$9*(1+D102/100)*(1+D122/100)</f>
        <v>506944.962082652</v>
      </c>
      <c r="E123" s="34" t="n">
        <f aca="false">Datos_FMI!$G$9*(1+E102/100)*(1+E122/100)</f>
        <v>583003.787658187</v>
      </c>
      <c r="F123" s="34" t="n">
        <f aca="false">Datos_FMI!$H$9*(1+F102/100)*(1+F122/100)</f>
        <v>629952.150179872</v>
      </c>
      <c r="G123" s="34" t="n">
        <f aca="false">Datos_FMI!$I$9*(1+G102/100)*(1+G122/100)</f>
        <v>693029.058520219</v>
      </c>
      <c r="H123" s="51" t="s">
        <v>119</v>
      </c>
    </row>
    <row r="124" customFormat="false" ht="15" hidden="false" customHeight="false" outlineLevel="0" collapsed="false">
      <c r="B124" s="48" t="s">
        <v>418</v>
      </c>
      <c r="C124" s="49"/>
      <c r="D124" s="49"/>
      <c r="E124" s="49"/>
      <c r="F124" s="49"/>
      <c r="G124" s="49"/>
      <c r="H124" s="49"/>
    </row>
    <row r="125" customFormat="false" ht="15" hidden="false" customHeight="false" outlineLevel="0" collapsed="false">
      <c r="B125" s="21" t="s">
        <v>419</v>
      </c>
      <c r="C125" s="52" t="n">
        <v>0</v>
      </c>
      <c r="D125" s="34" t="n">
        <f aca="false">C125+D110</f>
        <v>544.370325</v>
      </c>
      <c r="E125" s="34" t="n">
        <f aca="false">D125+E110</f>
        <v>5712.158021125</v>
      </c>
      <c r="F125" s="34" t="n">
        <f aca="false">E125+F110</f>
        <v>10323.6840774981</v>
      </c>
      <c r="G125" s="34" t="n">
        <f aca="false">F125+G110</f>
        <v>13648.8351525355</v>
      </c>
      <c r="H125" s="51" t="s">
        <v>119</v>
      </c>
    </row>
    <row r="126" customFormat="false" ht="15" hidden="false" customHeight="false" outlineLevel="0" collapsed="false">
      <c r="B126" s="21" t="s">
        <v>420</v>
      </c>
      <c r="C126" s="52" t="n">
        <v>0</v>
      </c>
      <c r="D126" s="34" t="n">
        <f aca="false">D125+Datos_FMI!$F$22*D117/100</f>
        <v>544.370325</v>
      </c>
      <c r="E126" s="34" t="n">
        <f aca="false">E125+Datos_FMI!$G$22*E117/100</f>
        <v>5712.158021125</v>
      </c>
      <c r="F126" s="34" t="n">
        <f aca="false">F125+Datos_FMI!$H$22*F117/100</f>
        <v>10323.6840774981</v>
      </c>
      <c r="G126" s="34" t="n">
        <f aca="false">G125+Datos_FMI!$I$22*G117/100</f>
        <v>13648.8351525355</v>
      </c>
      <c r="H126" s="51" t="s">
        <v>119</v>
      </c>
    </row>
    <row r="127" customFormat="false" ht="15" hidden="false" customHeight="false" outlineLevel="0" collapsed="false">
      <c r="B127" s="21" t="s">
        <v>421</v>
      </c>
      <c r="C127" s="50" t="n">
        <f aca="false">(Datos_FMI!$E$21+C126)/C123*100</f>
        <v>83.3168362182803</v>
      </c>
      <c r="D127" s="37" t="n">
        <f aca="false">(Datos_FMI!$F$21+D126)/D123*100</f>
        <v>100.475280044692</v>
      </c>
      <c r="E127" s="37" t="n">
        <f aca="false">(Datos_FMI!$G$21+E126)/E123*100</f>
        <v>95.5714473587263</v>
      </c>
      <c r="F127" s="37" t="n">
        <f aca="false">(Datos_FMI!$H$21+F126)/F123*100</f>
        <v>93.4070443143158</v>
      </c>
      <c r="G127" s="37" t="n">
        <f aca="false">(Datos_FMI!$I$21+G126)/G123*100</f>
        <v>89.2298566055718</v>
      </c>
      <c r="H127" s="51" t="s">
        <v>122</v>
      </c>
    </row>
    <row r="128" customFormat="false" ht="15" hidden="false" customHeight="false" outlineLevel="0" collapsed="false">
      <c r="B128" s="48" t="s">
        <v>422</v>
      </c>
      <c r="C128" s="49"/>
      <c r="D128" s="49"/>
      <c r="E128" s="49"/>
      <c r="F128" s="49"/>
      <c r="G128" s="49"/>
      <c r="H128" s="49"/>
    </row>
    <row r="129" customFormat="false" ht="15" hidden="false" customHeight="false" outlineLevel="0" collapsed="false">
      <c r="B129" s="21" t="s">
        <v>423</v>
      </c>
      <c r="C129" s="52" t="n">
        <v>0</v>
      </c>
      <c r="D129" s="34" t="n">
        <f aca="false">D90-D91-imp_el*D100/100*Datos_FMI!$F$24-sub_leak*D82/100*Datos_FMI!$F$41-bm_flight*D87-monet_leak*D114/D118</f>
        <v>83.60425</v>
      </c>
      <c r="E129" s="34" t="n">
        <f aca="false">E90-E91-imp_el*E100/100*Datos_FMI!$G$24-sub_leak*E82/100*Datos_FMI!$G$41-bm_flight*E87-monet_leak*E114/E118</f>
        <v>395.4678125</v>
      </c>
      <c r="F129" s="34" t="n">
        <f aca="false">F90-F91-imp_el*F100/100*Datos_FMI!$H$24-sub_leak*F82/100*Datos_FMI!$H$41-bm_flight*F87-monet_leak*F114/F118</f>
        <v>284.472775</v>
      </c>
      <c r="G129" s="34" t="n">
        <f aca="false">G90-G91-imp_el*G100/100*Datos_FMI!$I$24-sub_leak*G82/100*Datos_FMI!$I$41-bm_flight*G87-monet_leak*G114/G118</f>
        <v>85.7495</v>
      </c>
      <c r="H129" s="51" t="s">
        <v>140</v>
      </c>
    </row>
    <row r="130" customFormat="false" ht="15" hidden="false" customHeight="false" outlineLevel="0" collapsed="false">
      <c r="B130" s="21" t="s">
        <v>424</v>
      </c>
      <c r="C130" s="52" t="n">
        <v>0</v>
      </c>
      <c r="D130" s="34" t="n">
        <f aca="false">C130+D129</f>
        <v>83.60425</v>
      </c>
      <c r="E130" s="34" t="n">
        <f aca="false">D130+E129</f>
        <v>479.0720625</v>
      </c>
      <c r="F130" s="34" t="n">
        <f aca="false">E130+F129</f>
        <v>763.5448375</v>
      </c>
      <c r="G130" s="34" t="n">
        <f aca="false">F130+G129</f>
        <v>849.2943375</v>
      </c>
      <c r="H130" s="51" t="s">
        <v>140</v>
      </c>
    </row>
    <row r="131" customFormat="false" ht="15" hidden="false" customHeight="false" outlineLevel="0" collapsed="false">
      <c r="B131" s="21" t="s">
        <v>425</v>
      </c>
      <c r="C131" s="52" t="n">
        <f aca="false">Datos_FMI!$E$31+C130</f>
        <v>-2990</v>
      </c>
      <c r="D131" s="34" t="n">
        <f aca="false">Datos_FMI!$F$31+D130</f>
        <v>-497.39575</v>
      </c>
      <c r="E131" s="34" t="n">
        <f aca="false">Datos_FMI!$G$31+E130</f>
        <v>1223.0720625</v>
      </c>
      <c r="F131" s="34" t="n">
        <f aca="false">Datos_FMI!$H$31+F130</f>
        <v>2067.5448375</v>
      </c>
      <c r="G131" s="34" t="n">
        <f aca="false">Datos_FMI!$I$31+G130</f>
        <v>2727.2943375</v>
      </c>
      <c r="H131" s="51" t="s">
        <v>140</v>
      </c>
    </row>
    <row r="132" customFormat="false" ht="15" hidden="false" customHeight="false" outlineLevel="0" collapsed="false">
      <c r="B132" s="21" t="s">
        <v>426</v>
      </c>
      <c r="C132" s="52" t="n">
        <f aca="false">Datos_FMI!$E$28+C130</f>
        <v>627</v>
      </c>
      <c r="D132" s="34" t="n">
        <f aca="false">Datos_FMI!$F$28+D130</f>
        <v>2541.60425</v>
      </c>
      <c r="E132" s="34" t="n">
        <f aca="false">Datos_FMI!$G$28+E130</f>
        <v>4461.0720625</v>
      </c>
      <c r="F132" s="34" t="n">
        <f aca="false">Datos_FMI!$H$28+F130</f>
        <v>5453.5448375</v>
      </c>
      <c r="G132" s="34" t="n">
        <f aca="false">Datos_FMI!$I$28+G130</f>
        <v>6376.2943375</v>
      </c>
      <c r="H132" s="51" t="s">
        <v>140</v>
      </c>
    </row>
    <row r="133" customFormat="false" ht="15" hidden="false" customHeight="false" outlineLevel="0" collapsed="false">
      <c r="B133" s="21" t="s">
        <v>427</v>
      </c>
      <c r="C133" s="50" t="n">
        <f aca="false">Datos_FMI!$E$29*C132/Datos_FMI!$E$28</f>
        <v>10.9</v>
      </c>
      <c r="D133" s="37" t="n">
        <f aca="false">Datos_FMI!$F$29*D132/Datos_FMI!$F$28</f>
        <v>55.216300630594</v>
      </c>
      <c r="E133" s="37" t="n">
        <f aca="false">Datos_FMI!$G$29*E132/Datos_FMI!$G$28</f>
        <v>96.4586400254269</v>
      </c>
      <c r="F133" s="37" t="n">
        <f aca="false">Datos_FMI!$H$29*F132/Datos_FMI!$H$28</f>
        <v>116.396553994403</v>
      </c>
      <c r="G133" s="37" t="n">
        <f aca="false">Datos_FMI!$I$29*G132/Datos_FMI!$I$28</f>
        <v>129.556333291343</v>
      </c>
      <c r="H133" s="51" t="s">
        <v>114</v>
      </c>
    </row>
    <row r="134" customFormat="false" ht="15" hidden="false" customHeight="false" outlineLevel="0" collapsed="false">
      <c r="B134" s="48" t="s">
        <v>428</v>
      </c>
      <c r="C134" s="49"/>
      <c r="D134" s="49"/>
      <c r="E134" s="49"/>
      <c r="F134" s="49"/>
      <c r="G134" s="49"/>
      <c r="H134" s="49"/>
    </row>
    <row r="135" customFormat="false" ht="15" hidden="false" customHeight="false" outlineLevel="0" collapsed="false">
      <c r="B135" s="21" t="s">
        <v>429</v>
      </c>
      <c r="C135" s="50" t="n">
        <f aca="false">Datos_FMI!$E$32+C97</f>
        <v>3.1</v>
      </c>
      <c r="D135" s="37" t="n">
        <f aca="false">Datos_FMI!$F$32+D97</f>
        <v>4</v>
      </c>
      <c r="E135" s="37" t="n">
        <f aca="false">Datos_FMI!$G$32+E97</f>
        <v>7.3</v>
      </c>
      <c r="F135" s="37" t="n">
        <f aca="false">Datos_FMI!$H$32+F97</f>
        <v>7.3</v>
      </c>
      <c r="G135" s="37" t="n">
        <f aca="false">Datos_FMI!$I$32+G97</f>
        <v>9.5</v>
      </c>
      <c r="H135" s="51" t="s">
        <v>114</v>
      </c>
    </row>
    <row r="136" customFormat="false" ht="15" hidden="false" customHeight="false" outlineLevel="0" collapsed="false">
      <c r="B136" s="21" t="s">
        <v>430</v>
      </c>
      <c r="C136" s="50" t="n">
        <v>0</v>
      </c>
      <c r="D136" s="37" t="n">
        <f aca="false">C136+D87</f>
        <v>0</v>
      </c>
      <c r="E136" s="37" t="n">
        <f aca="false">D136+E87</f>
        <v>0</v>
      </c>
      <c r="F136" s="37" t="n">
        <f aca="false">E136+F87</f>
        <v>0</v>
      </c>
      <c r="G136" s="37" t="n">
        <f aca="false">F136+G87</f>
        <v>0</v>
      </c>
      <c r="H136" s="51" t="s">
        <v>114</v>
      </c>
    </row>
    <row r="137" customFormat="false" ht="15" hidden="false" customHeight="false" outlineLevel="0" collapsed="false">
      <c r="B137" s="21" t="s">
        <v>431</v>
      </c>
      <c r="C137" s="52" t="n">
        <v>0</v>
      </c>
      <c r="D137" s="34" t="n">
        <f aca="false">C137+D114</f>
        <v>0</v>
      </c>
      <c r="E137" s="34" t="n">
        <f aca="false">D137+E114</f>
        <v>0</v>
      </c>
      <c r="F137" s="34" t="n">
        <f aca="false">E137+F114</f>
        <v>0</v>
      </c>
      <c r="G137" s="34" t="n">
        <f aca="false">F137+G114</f>
        <v>0</v>
      </c>
      <c r="H137" s="51" t="s">
        <v>119</v>
      </c>
    </row>
    <row r="138" customFormat="false" ht="15" hidden="false" customHeight="false" outlineLevel="0" collapsed="false">
      <c r="B138" s="21" t="s">
        <v>432</v>
      </c>
      <c r="C138" s="52" t="n">
        <f aca="false">Datos_FMI!$E$34</f>
        <v>132269</v>
      </c>
      <c r="D138" s="34" t="n">
        <f aca="false">meta_bm*(1+D136/100)+D137</f>
        <v>133900</v>
      </c>
      <c r="E138" s="34" t="n">
        <f aca="false">Datos_FMI!$G$34*(1+E136/100)+E137</f>
        <v>148333</v>
      </c>
      <c r="F138" s="34" t="n">
        <f aca="false">Datos_FMI!$H$34*(1+F136/100)+F137</f>
        <v>161304</v>
      </c>
      <c r="G138" s="34" t="n">
        <f aca="false">Datos_FMI!$I$34*(1+G136/100)+G137</f>
        <v>177013</v>
      </c>
      <c r="H138" s="51" t="s">
        <v>119</v>
      </c>
    </row>
    <row r="139" customFormat="false" ht="15" hidden="false" customHeight="false" outlineLevel="0" collapsed="false">
      <c r="B139" s="48" t="s">
        <v>433</v>
      </c>
      <c r="C139" s="49"/>
      <c r="D139" s="49"/>
      <c r="E139" s="49"/>
      <c r="F139" s="49"/>
      <c r="G139" s="49"/>
      <c r="H139" s="49"/>
    </row>
    <row r="140" customFormat="false" ht="15" hidden="false" customHeight="false" outlineLevel="0" collapsed="false">
      <c r="B140" s="21" t="s">
        <v>434</v>
      </c>
      <c r="C140" s="52" t="n">
        <f aca="false">Datos_FMI!$E$14+C83/100*Datos_FMI!$E$9</f>
        <v>5525</v>
      </c>
      <c r="D140" s="34" t="n">
        <f aca="false">Datos_FMI!$F$14+D83/100*Datos_FMI!$F$9</f>
        <v>10890</v>
      </c>
      <c r="E140" s="34" t="n">
        <f aca="false">Datos_FMI!$G$14+E83/100*Datos_FMI!$G$9</f>
        <v>12722.578</v>
      </c>
      <c r="F140" s="34" t="n">
        <f aca="false">Datos_FMI!$H$14+F83/100*Datos_FMI!$H$9</f>
        <v>8064.823</v>
      </c>
      <c r="G140" s="34" t="n">
        <f aca="false">Datos_FMI!$I$14+G83/100*Datos_FMI!$I$9</f>
        <v>8813.142</v>
      </c>
      <c r="H140" s="51" t="s">
        <v>119</v>
      </c>
    </row>
    <row r="141" customFormat="false" ht="15" hidden="false" customHeight="false" outlineLevel="0" collapsed="false">
      <c r="B141" s="21" t="s">
        <v>435</v>
      </c>
      <c r="C141" s="52" t="n">
        <v>0</v>
      </c>
      <c r="D141" s="34" t="n">
        <f aca="false">emp_el*D102/100*pea</f>
        <v>2.8</v>
      </c>
      <c r="E141" s="34" t="n">
        <f aca="false">emp_el*E102/100*pea</f>
        <v>20.8</v>
      </c>
      <c r="F141" s="34" t="n">
        <f aca="false">emp_el*F102/100*pea</f>
        <v>39.44</v>
      </c>
      <c r="G141" s="34" t="n">
        <f aca="false">emp_el*G102/100*pea</f>
        <v>56.8</v>
      </c>
      <c r="H141" s="51" t="s">
        <v>315</v>
      </c>
    </row>
    <row r="142" customFormat="false" ht="15" hidden="false" customHeight="false" outlineLevel="0" collapsed="false">
      <c r="B142" s="21" t="s">
        <v>436</v>
      </c>
      <c r="C142" s="50" t="n">
        <v>0</v>
      </c>
      <c r="D142" s="37" t="n">
        <f aca="false">-pov_g*D102-pov_soc*D83+pov_pi*D119-pov_sub*D82</f>
        <v>-0.05796875</v>
      </c>
      <c r="E142" s="37" t="n">
        <f aca="false">-pov_g*E102-pov_soc*E83+pov_pi*E119-pov_sub*E82</f>
        <v>-0.43390625</v>
      </c>
      <c r="F142" s="37" t="n">
        <f aca="false">-pov_g*F102-pov_soc*F83+pov_pi*F119-pov_sub*F82</f>
        <v>-0.84090625</v>
      </c>
      <c r="G142" s="37" t="n">
        <f aca="false">-pov_g*G102-pov_soc*G83+pov_pi*G119-pov_sub*G82</f>
        <v>-1.22215625</v>
      </c>
      <c r="H142" s="51" t="s">
        <v>353</v>
      </c>
    </row>
    <row r="143" customFormat="false" ht="15" hidden="false" customHeight="false" outlineLevel="0" collapsed="false">
      <c r="B143" s="21" t="s">
        <v>437</v>
      </c>
      <c r="C143" s="50" t="n">
        <v>0</v>
      </c>
      <c r="D143" s="37" t="n">
        <f aca="false">-gini_tpr*D85-gini_soc*D83</f>
        <v>-0</v>
      </c>
      <c r="E143" s="37" t="n">
        <f aca="false">-gini_tpr*E85-gini_soc*E83</f>
        <v>-0</v>
      </c>
      <c r="F143" s="37" t="n">
        <f aca="false">-gini_tpr*F85-gini_soc*F83</f>
        <v>-0</v>
      </c>
      <c r="G143" s="37" t="n">
        <f aca="false">-gini_tpr*G85-gini_soc*G83</f>
        <v>-0</v>
      </c>
      <c r="H143" s="51" t="s">
        <v>438</v>
      </c>
    </row>
    <row r="149" customFormat="false" ht="15" hidden="false" customHeight="false" outlineLevel="0" collapsed="false">
      <c r="B149" s="46" t="s">
        <v>362</v>
      </c>
      <c r="C149" s="47"/>
      <c r="D149" s="47"/>
      <c r="E149" s="47"/>
      <c r="F149" s="47"/>
      <c r="G149" s="47"/>
      <c r="H149" s="47"/>
    </row>
    <row r="150" customFormat="false" ht="15" hidden="false" customHeight="false" outlineLevel="0" collapsed="false">
      <c r="B150" s="11" t="s">
        <v>374</v>
      </c>
      <c r="C150" s="11" t="s">
        <v>109</v>
      </c>
      <c r="D150" s="11" t="s">
        <v>99</v>
      </c>
      <c r="E150" s="11" t="s">
        <v>100</v>
      </c>
      <c r="F150" s="11" t="s">
        <v>101</v>
      </c>
      <c r="G150" s="11" t="s">
        <v>102</v>
      </c>
      <c r="H150" s="11" t="s">
        <v>107</v>
      </c>
    </row>
    <row r="151" customFormat="false" ht="15" hidden="false" customHeight="false" outlineLevel="0" collapsed="false">
      <c r="B151" s="48" t="s">
        <v>375</v>
      </c>
      <c r="C151" s="49"/>
      <c r="D151" s="49"/>
      <c r="E151" s="49"/>
      <c r="F151" s="49"/>
      <c r="G151" s="49"/>
      <c r="H151" s="49"/>
    </row>
    <row r="152" customFormat="false" ht="15" hidden="false" customHeight="false" outlineLevel="0" collapsed="false">
      <c r="B152" s="21" t="s">
        <v>376</v>
      </c>
      <c r="C152" s="50" t="n">
        <v>0</v>
      </c>
      <c r="D152" s="16" t="n">
        <f aca="false">Palancas!D44*ef26</f>
        <v>0</v>
      </c>
      <c r="E152" s="16" t="n">
        <f aca="false">Palancas!E44*1</f>
        <v>0</v>
      </c>
      <c r="F152" s="16" t="n">
        <f aca="false">Palancas!F44*1</f>
        <v>0</v>
      </c>
      <c r="G152" s="16" t="n">
        <f aca="false">Palancas!G44*1</f>
        <v>0</v>
      </c>
      <c r="H152" s="51" t="s">
        <v>254</v>
      </c>
    </row>
    <row r="153" customFormat="false" ht="15" hidden="false" customHeight="false" outlineLevel="0" collapsed="false">
      <c r="B153" s="21" t="s">
        <v>377</v>
      </c>
      <c r="C153" s="50" t="n">
        <v>0</v>
      </c>
      <c r="D153" s="16" t="n">
        <f aca="false">Palancas!D45*ef26</f>
        <v>0</v>
      </c>
      <c r="E153" s="16" t="n">
        <f aca="false">Palancas!E45*1</f>
        <v>0</v>
      </c>
      <c r="F153" s="16" t="n">
        <f aca="false">Palancas!F45*1</f>
        <v>0</v>
      </c>
      <c r="G153" s="16" t="n">
        <f aca="false">Palancas!G45*1</f>
        <v>0</v>
      </c>
      <c r="H153" s="51" t="s">
        <v>254</v>
      </c>
    </row>
    <row r="154" customFormat="false" ht="15" hidden="false" customHeight="false" outlineLevel="0" collapsed="false">
      <c r="B154" s="21" t="s">
        <v>378</v>
      </c>
      <c r="C154" s="50" t="n">
        <v>0</v>
      </c>
      <c r="D154" s="16" t="n">
        <f aca="false">Palancas!D46*ef26</f>
        <v>0</v>
      </c>
      <c r="E154" s="16" t="n">
        <f aca="false">Palancas!E46*1</f>
        <v>0</v>
      </c>
      <c r="F154" s="16" t="n">
        <f aca="false">Palancas!F46*1</f>
        <v>0</v>
      </c>
      <c r="G154" s="16" t="n">
        <f aca="false">Palancas!G46*1</f>
        <v>0</v>
      </c>
      <c r="H154" s="51" t="s">
        <v>254</v>
      </c>
    </row>
    <row r="155" customFormat="false" ht="15" hidden="false" customHeight="false" outlineLevel="0" collapsed="false">
      <c r="B155" s="21" t="s">
        <v>379</v>
      </c>
      <c r="C155" s="50" t="n">
        <v>0</v>
      </c>
      <c r="D155" s="16" t="n">
        <f aca="false">Palancas!D47*ef26</f>
        <v>0</v>
      </c>
      <c r="E155" s="16" t="n">
        <f aca="false">Palancas!E47*1</f>
        <v>0</v>
      </c>
      <c r="F155" s="16" t="n">
        <f aca="false">Palancas!F47*1</f>
        <v>0</v>
      </c>
      <c r="G155" s="16" t="n">
        <f aca="false">Palancas!G47*1</f>
        <v>0</v>
      </c>
      <c r="H155" s="51" t="s">
        <v>254</v>
      </c>
    </row>
    <row r="156" customFormat="false" ht="15" hidden="false" customHeight="false" outlineLevel="0" collapsed="false">
      <c r="B156" s="21" t="s">
        <v>380</v>
      </c>
      <c r="C156" s="50" t="n">
        <v>0</v>
      </c>
      <c r="D156" s="16" t="n">
        <f aca="false">Palancas!D48*ef26*r_tev</f>
        <v>0</v>
      </c>
      <c r="E156" s="16" t="n">
        <f aca="false">Palancas!E48*1*r_tev</f>
        <v>0</v>
      </c>
      <c r="F156" s="16" t="n">
        <f aca="false">Palancas!F48*1*r_tev</f>
        <v>0</v>
      </c>
      <c r="G156" s="16" t="n">
        <f aca="false">Palancas!G48*1*r_tev</f>
        <v>0</v>
      </c>
      <c r="H156" s="51" t="s">
        <v>254</v>
      </c>
    </row>
    <row r="157" customFormat="false" ht="15" hidden="false" customHeight="false" outlineLevel="0" collapsed="false">
      <c r="B157" s="21" t="s">
        <v>381</v>
      </c>
      <c r="C157" s="50" t="n">
        <v>0</v>
      </c>
      <c r="D157" s="16" t="n">
        <f aca="false">Palancas!D49*ef26*r_tpr</f>
        <v>0</v>
      </c>
      <c r="E157" s="16" t="n">
        <f aca="false">Palancas!E49*1*r_tpr</f>
        <v>0</v>
      </c>
      <c r="F157" s="16" t="n">
        <f aca="false">Palancas!F49*1*r_tpr</f>
        <v>0</v>
      </c>
      <c r="G157" s="16" t="n">
        <f aca="false">Palancas!G49*1*r_tpr</f>
        <v>0</v>
      </c>
      <c r="H157" s="51" t="s">
        <v>254</v>
      </c>
    </row>
    <row r="158" customFormat="false" ht="15" hidden="false" customHeight="false" outlineLevel="0" collapsed="false">
      <c r="B158" s="21" t="s">
        <v>382</v>
      </c>
      <c r="C158" s="50" t="n">
        <v>0</v>
      </c>
      <c r="D158" s="16" t="n">
        <f aca="false">Palancas!D50*ef26*r_tex</f>
        <v>0</v>
      </c>
      <c r="E158" s="16" t="n">
        <f aca="false">Palancas!E50*1*r_tex</f>
        <v>0</v>
      </c>
      <c r="F158" s="16" t="n">
        <f aca="false">Palancas!F50*1*r_tex</f>
        <v>0</v>
      </c>
      <c r="G158" s="16" t="n">
        <f aca="false">Palancas!G50*1*r_tex</f>
        <v>0</v>
      </c>
      <c r="H158" s="51" t="s">
        <v>254</v>
      </c>
    </row>
    <row r="159" customFormat="false" ht="15" hidden="false" customHeight="false" outlineLevel="0" collapsed="false">
      <c r="B159" s="21" t="s">
        <v>383</v>
      </c>
      <c r="C159" s="50" t="n">
        <v>0</v>
      </c>
      <c r="D159" s="16" t="n">
        <f aca="false">Palancas!D51*ef26</f>
        <v>0</v>
      </c>
      <c r="E159" s="16" t="n">
        <f aca="false">Palancas!E51*1</f>
        <v>1.5</v>
      </c>
      <c r="F159" s="16" t="n">
        <f aca="false">Palancas!F51*1</f>
        <v>1</v>
      </c>
      <c r="G159" s="16" t="n">
        <f aca="false">Palancas!G51*1</f>
        <v>0.5</v>
      </c>
      <c r="H159" s="51" t="s">
        <v>353</v>
      </c>
    </row>
    <row r="160" customFormat="false" ht="15" hidden="false" customHeight="false" outlineLevel="0" collapsed="false">
      <c r="B160" s="21" t="s">
        <v>384</v>
      </c>
      <c r="C160" s="50" t="n">
        <v>0</v>
      </c>
      <c r="D160" s="16" t="n">
        <f aca="false">Palancas!D52*ef26</f>
        <v>0.25</v>
      </c>
      <c r="E160" s="16" t="n">
        <f aca="false">Palancas!E52*1</f>
        <v>4</v>
      </c>
      <c r="F160" s="16" t="n">
        <f aca="false">Palancas!F52*1</f>
        <v>4</v>
      </c>
      <c r="G160" s="16" t="n">
        <f aca="false">Palancas!G52*1</f>
        <v>3</v>
      </c>
      <c r="H160" s="51" t="s">
        <v>353</v>
      </c>
    </row>
    <row r="161" customFormat="false" ht="15" hidden="false" customHeight="false" outlineLevel="0" collapsed="false">
      <c r="B161" s="21" t="s">
        <v>385</v>
      </c>
      <c r="C161" s="50" t="n">
        <v>0</v>
      </c>
      <c r="D161" s="16" t="n">
        <f aca="false">Palancas!D53*ef26</f>
        <v>0</v>
      </c>
      <c r="E161" s="16" t="n">
        <f aca="false">Palancas!E53*1</f>
        <v>0</v>
      </c>
      <c r="F161" s="16" t="n">
        <f aca="false">Palancas!F53*1</f>
        <v>0</v>
      </c>
      <c r="G161" s="16" t="n">
        <f aca="false">Palancas!G53*1</f>
        <v>0</v>
      </c>
      <c r="H161" s="51" t="s">
        <v>353</v>
      </c>
    </row>
    <row r="162" customFormat="false" ht="15" hidden="false" customHeight="false" outlineLevel="0" collapsed="false">
      <c r="B162" s="21" t="s">
        <v>386</v>
      </c>
      <c r="C162" s="52" t="n">
        <v>0</v>
      </c>
      <c r="D162" s="14" t="n">
        <f aca="false">Palancas!D54</f>
        <v>0</v>
      </c>
      <c r="E162" s="14" t="n">
        <f aca="false">Palancas!E54</f>
        <v>0</v>
      </c>
      <c r="F162" s="14" t="n">
        <f aca="false">Palancas!F54</f>
        <v>0</v>
      </c>
      <c r="G162" s="14" t="n">
        <f aca="false">Palancas!G54</f>
        <v>0</v>
      </c>
      <c r="H162" s="51" t="s">
        <v>140</v>
      </c>
    </row>
    <row r="163" customFormat="false" ht="15" hidden="false" customHeight="false" outlineLevel="0" collapsed="false">
      <c r="B163" s="21" t="s">
        <v>387</v>
      </c>
      <c r="C163" s="52" t="n">
        <v>0</v>
      </c>
      <c r="D163" s="14" t="n">
        <f aca="false">Palancas!D55</f>
        <v>0</v>
      </c>
      <c r="E163" s="14" t="n">
        <f aca="false">Palancas!E55</f>
        <v>0</v>
      </c>
      <c r="F163" s="14" t="n">
        <f aca="false">Palancas!F55</f>
        <v>0</v>
      </c>
      <c r="G163" s="14" t="n">
        <f aca="false">Palancas!G55</f>
        <v>0</v>
      </c>
      <c r="H163" s="51" t="s">
        <v>140</v>
      </c>
    </row>
    <row r="164" customFormat="false" ht="15" hidden="false" customHeight="false" outlineLevel="0" collapsed="false">
      <c r="B164" s="48" t="s">
        <v>388</v>
      </c>
      <c r="C164" s="49"/>
      <c r="D164" s="49"/>
      <c r="E164" s="49"/>
      <c r="F164" s="49"/>
      <c r="G164" s="49"/>
      <c r="H164" s="49"/>
    </row>
    <row r="165" customFormat="false" ht="15" hidden="false" customHeight="false" outlineLevel="0" collapsed="false">
      <c r="B165" s="21" t="s">
        <v>389</v>
      </c>
      <c r="C165" s="50" t="n">
        <f aca="false">C152+C153+C154+C155</f>
        <v>0</v>
      </c>
      <c r="D165" s="37" t="n">
        <f aca="false">D152+D153+D154+D155</f>
        <v>0</v>
      </c>
      <c r="E165" s="37" t="n">
        <f aca="false">E152+E153+E154+E155</f>
        <v>0</v>
      </c>
      <c r="F165" s="37" t="n">
        <f aca="false">F152+F153+F154+F155</f>
        <v>0</v>
      </c>
      <c r="G165" s="37" t="n">
        <f aca="false">G152+G153+G154+G155</f>
        <v>0</v>
      </c>
      <c r="H165" s="51" t="s">
        <v>254</v>
      </c>
    </row>
    <row r="166" customFormat="false" ht="15" hidden="false" customHeight="false" outlineLevel="0" collapsed="false">
      <c r="B166" s="21" t="s">
        <v>390</v>
      </c>
      <c r="C166" s="50" t="n">
        <f aca="false">C156+C157+C158</f>
        <v>0</v>
      </c>
      <c r="D166" s="37" t="n">
        <f aca="false">D156+D157+D158</f>
        <v>0</v>
      </c>
      <c r="E166" s="37" t="n">
        <f aca="false">E156+E157+E158</f>
        <v>0</v>
      </c>
      <c r="F166" s="37" t="n">
        <f aca="false">F156+F157+F158</f>
        <v>0</v>
      </c>
      <c r="G166" s="37" t="n">
        <f aca="false">G156+G157+G158</f>
        <v>0</v>
      </c>
      <c r="H166" s="51" t="s">
        <v>254</v>
      </c>
    </row>
    <row r="167" customFormat="false" ht="15" hidden="false" customHeight="false" outlineLevel="0" collapsed="false">
      <c r="B167" s="21" t="s">
        <v>391</v>
      </c>
      <c r="C167" s="50" t="n">
        <f aca="false">C166-C165</f>
        <v>0</v>
      </c>
      <c r="D167" s="37" t="n">
        <f aca="false">D166-D165</f>
        <v>0</v>
      </c>
      <c r="E167" s="37" t="n">
        <f aca="false">E166-E165</f>
        <v>0</v>
      </c>
      <c r="F167" s="37" t="n">
        <f aca="false">F166-F165</f>
        <v>0</v>
      </c>
      <c r="G167" s="37" t="n">
        <f aca="false">G166-G165</f>
        <v>0</v>
      </c>
      <c r="H167" s="51" t="s">
        <v>254</v>
      </c>
    </row>
    <row r="168" customFormat="false" ht="15" hidden="false" customHeight="false" outlineLevel="0" collapsed="false">
      <c r="B168" s="48" t="s">
        <v>392</v>
      </c>
      <c r="C168" s="49"/>
      <c r="D168" s="49"/>
      <c r="E168" s="49"/>
      <c r="F168" s="49"/>
      <c r="G168" s="49"/>
      <c r="H168" s="49"/>
    </row>
    <row r="169" customFormat="false" ht="15" hidden="false" customHeight="false" outlineLevel="0" collapsed="false">
      <c r="B169" s="21" t="s">
        <v>393</v>
      </c>
      <c r="C169" s="50" t="n">
        <v>0</v>
      </c>
      <c r="D169" s="37" t="n">
        <f aca="false">D160+bm_cred*D159-crowd*C185/(Datos_FMI!$F$33/100)</f>
        <v>0.25</v>
      </c>
      <c r="E169" s="37" t="n">
        <f aca="false">E160+bm_cred*E159-crowd*D185/(Datos_FMI!$G$33/100)</f>
        <v>4.75</v>
      </c>
      <c r="F169" s="37" t="n">
        <f aca="false">F160+bm_cred*F159-crowd*E185/(Datos_FMI!$H$33/100)</f>
        <v>4.5</v>
      </c>
      <c r="G169" s="37" t="n">
        <f aca="false">G160+bm_cred*G159-crowd*F185/(Datos_FMI!$I$33/100)</f>
        <v>3.25</v>
      </c>
      <c r="H169" s="51" t="s">
        <v>353</v>
      </c>
    </row>
    <row r="170" customFormat="false" ht="15" hidden="false" customHeight="false" outlineLevel="0" collapsed="false">
      <c r="B170" s="21" t="s">
        <v>394</v>
      </c>
      <c r="C170" s="50" t="n">
        <v>0</v>
      </c>
      <c r="D170" s="37" t="n">
        <f aca="false">C170+D152</f>
        <v>0</v>
      </c>
      <c r="E170" s="37" t="n">
        <f aca="false">D170+E152</f>
        <v>0</v>
      </c>
      <c r="F170" s="37" t="n">
        <f aca="false">E170+F152</f>
        <v>0</v>
      </c>
      <c r="G170" s="37" t="n">
        <f aca="false">F170+G152</f>
        <v>0</v>
      </c>
      <c r="H170" s="51" t="s">
        <v>254</v>
      </c>
    </row>
    <row r="171" customFormat="false" ht="15" hidden="false" customHeight="false" outlineLevel="0" collapsed="false">
      <c r="B171" s="21" t="s">
        <v>395</v>
      </c>
      <c r="C171" s="50" t="n">
        <v>0</v>
      </c>
      <c r="D171" s="37" t="n">
        <f aca="false">kappa*MAX(0,-D167-tol)</f>
        <v>0</v>
      </c>
      <c r="E171" s="37" t="n">
        <f aca="false">kappa*MAX(0,-E167-tol)</f>
        <v>0</v>
      </c>
      <c r="F171" s="37" t="n">
        <f aca="false">kappa*MAX(0,-F167-tol)</f>
        <v>0</v>
      </c>
      <c r="G171" s="37" t="n">
        <f aca="false">kappa*MAX(0,-G167-tol)</f>
        <v>0</v>
      </c>
      <c r="H171" s="51" t="s">
        <v>353</v>
      </c>
    </row>
    <row r="172" customFormat="false" ht="15" hidden="false" customHeight="false" outlineLevel="0" collapsed="false">
      <c r="B172" s="21" t="s">
        <v>396</v>
      </c>
      <c r="C172" s="50" t="n">
        <v>0</v>
      </c>
      <c r="D172" s="37" t="n">
        <f aca="false">m_inv*D152+m_cur*D153+m_sub*D154+m_soc*D155-(m_tev*D156+m_tpr*D157+m_tex*D158)+eps_cred*D169+s_inv*C170+nu_dep*D161-D171</f>
        <v>0.03</v>
      </c>
      <c r="E172" s="37" t="n">
        <f aca="false">m_inv*E152+m_cur*E153+m_sub*E154+m_soc*E155-(m_tev*E156+m_tpr*E157+m_tex*E158)+eps_cred*E169+s_inv*D170+nu_dep*E161-E171</f>
        <v>0.57</v>
      </c>
      <c r="F172" s="37" t="n">
        <f aca="false">m_inv*F152+m_cur*F153+m_sub*F154+m_soc*F155-(m_tev*F156+m_tpr*F157+m_tex*F158)+eps_cred*F169+s_inv*E170+nu_dep*F161-F171</f>
        <v>0.54</v>
      </c>
      <c r="G172" s="37" t="n">
        <f aca="false">m_inv*G152+m_cur*G153+m_sub*G154+m_soc*G155-(m_tev*G156+m_tpr*G157+m_tex*G158)+eps_cred*G169+s_inv*F170+nu_dep*G161-G171</f>
        <v>0.39</v>
      </c>
      <c r="H172" s="51" t="s">
        <v>353</v>
      </c>
    </row>
    <row r="173" customFormat="false" ht="15" hidden="false" customHeight="false" outlineLevel="0" collapsed="false">
      <c r="B173" s="21" t="s">
        <v>397</v>
      </c>
      <c r="C173" s="50" t="n">
        <f aca="false">Datos_FMI!$E$6+C172</f>
        <v>-1.6</v>
      </c>
      <c r="D173" s="37" t="n">
        <f aca="false">Datos_FMI!$F$6+D172</f>
        <v>-2.97</v>
      </c>
      <c r="E173" s="37" t="n">
        <f aca="false">Datos_FMI!$G$6+E172</f>
        <v>-0.93</v>
      </c>
      <c r="F173" s="37" t="n">
        <f aca="false">Datos_FMI!$H$6+F172</f>
        <v>1.04</v>
      </c>
      <c r="G173" s="37" t="n">
        <f aca="false">Datos_FMI!$I$6+G172</f>
        <v>2.89</v>
      </c>
      <c r="H173" s="51" t="s">
        <v>114</v>
      </c>
    </row>
    <row r="174" customFormat="false" ht="15" hidden="false" customHeight="false" outlineLevel="0" collapsed="false">
      <c r="B174" s="21" t="s">
        <v>398</v>
      </c>
      <c r="C174" s="50" t="n">
        <v>0</v>
      </c>
      <c r="D174" s="37" t="n">
        <f aca="false">C174+D172</f>
        <v>0.03</v>
      </c>
      <c r="E174" s="37" t="n">
        <f aca="false">D174+E172</f>
        <v>0.6</v>
      </c>
      <c r="F174" s="37" t="n">
        <f aca="false">E174+F172</f>
        <v>1.14</v>
      </c>
      <c r="G174" s="37" t="n">
        <f aca="false">F174+G172</f>
        <v>1.53</v>
      </c>
      <c r="H174" s="51" t="s">
        <v>114</v>
      </c>
    </row>
    <row r="175" customFormat="false" ht="15" hidden="false" customHeight="false" outlineLevel="0" collapsed="false">
      <c r="B175" s="48" t="s">
        <v>399</v>
      </c>
      <c r="C175" s="49"/>
      <c r="D175" s="49"/>
      <c r="E175" s="49"/>
      <c r="F175" s="49"/>
      <c r="G175" s="49"/>
      <c r="H175" s="49"/>
    </row>
    <row r="176" customFormat="false" ht="15" hidden="false" customHeight="false" outlineLevel="0" collapsed="false">
      <c r="B176" s="21" t="s">
        <v>400</v>
      </c>
      <c r="C176" s="50" t="n">
        <v>0</v>
      </c>
      <c r="D176" s="37" t="n">
        <f aca="false">D167+auto*D172</f>
        <v>0.006</v>
      </c>
      <c r="E176" s="37" t="n">
        <f aca="false">E167+auto*E172</f>
        <v>0.114</v>
      </c>
      <c r="F176" s="37" t="n">
        <f aca="false">F167+auto*F172</f>
        <v>0.108</v>
      </c>
      <c r="G176" s="37" t="n">
        <f aca="false">G167+auto*G172</f>
        <v>0.078</v>
      </c>
      <c r="H176" s="51" t="s">
        <v>254</v>
      </c>
    </row>
    <row r="177" customFormat="false" ht="15" hidden="false" customHeight="false" outlineLevel="0" collapsed="false">
      <c r="B177" s="21" t="s">
        <v>401</v>
      </c>
      <c r="C177" s="50" t="n">
        <f aca="false">Datos_FMI!$E$17+C176</f>
        <v>-8.8</v>
      </c>
      <c r="D177" s="37" t="n">
        <f aca="false">Datos_FMI!$F$17+D176</f>
        <v>-6.494</v>
      </c>
      <c r="E177" s="37" t="n">
        <f aca="false">Datos_FMI!$G$17+E176</f>
        <v>-2.886</v>
      </c>
      <c r="F177" s="37" t="n">
        <f aca="false">Datos_FMI!$H$17+F176</f>
        <v>-0.192</v>
      </c>
      <c r="G177" s="37" t="n">
        <f aca="false">Datos_FMI!$I$17+G176</f>
        <v>0.678</v>
      </c>
      <c r="H177" s="51" t="s">
        <v>122</v>
      </c>
    </row>
    <row r="178" customFormat="false" ht="15" hidden="false" customHeight="false" outlineLevel="0" collapsed="false">
      <c r="B178" s="21" t="s">
        <v>401</v>
      </c>
      <c r="C178" s="52" t="n">
        <f aca="false">Datos_FMI!$E$18+C176/100*Datos_FMI!$E$9</f>
        <v>-39587</v>
      </c>
      <c r="D178" s="34" t="n">
        <f aca="false">Datos_FMI!$F$18+D176/100*Datos_FMI!$F$9</f>
        <v>-32838.61654</v>
      </c>
      <c r="E178" s="34" t="n">
        <f aca="false">Datos_FMI!$G$18+E176/100*Datos_FMI!$G$9</f>
        <v>-16806.73914</v>
      </c>
      <c r="F178" s="34" t="n">
        <f aca="false">Datos_FMI!$H$18+F176/100*Datos_FMI!$H$9</f>
        <v>-1191.11232</v>
      </c>
      <c r="G178" s="34" t="n">
        <f aca="false">Datos_FMI!$I$18+G176/100*Datos_FMI!$I$9</f>
        <v>4596.39252</v>
      </c>
      <c r="H178" s="51" t="s">
        <v>119</v>
      </c>
    </row>
    <row r="179" customFormat="false" ht="15" hidden="false" customHeight="false" outlineLevel="0" collapsed="false">
      <c r="B179" s="21" t="s">
        <v>402</v>
      </c>
      <c r="C179" s="50" t="n">
        <v>0</v>
      </c>
      <c r="D179" s="37" t="n">
        <f aca="false">r_int*C198/Datos_FMI!$F$9*100</f>
        <v>0</v>
      </c>
      <c r="E179" s="37" t="n">
        <f aca="false">r_int*D198/Datos_FMI!$G$9*100</f>
        <v>-0.000341505847321195</v>
      </c>
      <c r="F179" s="37" t="n">
        <f aca="false">r_int*E198/Datos_FMI!$H$9*100</f>
        <v>0.0108004765022059</v>
      </c>
      <c r="G179" s="37" t="n">
        <f aca="false">r_int*F198/Datos_FMI!$I$9*100</f>
        <v>0.0162204988165216</v>
      </c>
      <c r="H179" s="51" t="s">
        <v>254</v>
      </c>
    </row>
    <row r="180" customFormat="false" ht="15" hidden="false" customHeight="false" outlineLevel="0" collapsed="false">
      <c r="B180" s="21" t="s">
        <v>403</v>
      </c>
      <c r="C180" s="50" t="n">
        <v>0</v>
      </c>
      <c r="D180" s="37" t="n">
        <f aca="false">D176-D179</f>
        <v>0.006</v>
      </c>
      <c r="E180" s="37" t="n">
        <f aca="false">E176-E179</f>
        <v>0.114341505847321</v>
      </c>
      <c r="F180" s="37" t="n">
        <f aca="false">F176-F179</f>
        <v>0.0971995234977941</v>
      </c>
      <c r="G180" s="37" t="n">
        <f aca="false">G176-G179</f>
        <v>0.0617795011834784</v>
      </c>
      <c r="H180" s="51" t="s">
        <v>254</v>
      </c>
    </row>
    <row r="181" customFormat="false" ht="15" hidden="false" customHeight="false" outlineLevel="0" collapsed="false">
      <c r="B181" s="21" t="s">
        <v>404</v>
      </c>
      <c r="C181" s="50" t="n">
        <f aca="false">Datos_FMI!$E$19+C180</f>
        <v>-11.4</v>
      </c>
      <c r="D181" s="37" t="n">
        <f aca="false">Datos_FMI!$F$19+D180</f>
        <v>-9.194</v>
      </c>
      <c r="E181" s="37" t="n">
        <f aca="false">Datos_FMI!$G$19+E180</f>
        <v>-6.58565849415268</v>
      </c>
      <c r="F181" s="37" t="n">
        <f aca="false">Datos_FMI!$H$19+F180</f>
        <v>-3.90280047650221</v>
      </c>
      <c r="G181" s="37" t="n">
        <f aca="false">Datos_FMI!$I$19+G180</f>
        <v>-3.13822049881652</v>
      </c>
      <c r="H181" s="51" t="s">
        <v>122</v>
      </c>
    </row>
    <row r="182" customFormat="false" ht="15" hidden="false" customHeight="false" outlineLevel="0" collapsed="false">
      <c r="B182" s="21" t="s">
        <v>405</v>
      </c>
      <c r="C182" s="52" t="n">
        <v>0</v>
      </c>
      <c r="D182" s="34" t="n">
        <f aca="false">-D180/100*Datos_FMI!$F$9</f>
        <v>-30.38346</v>
      </c>
      <c r="E182" s="34" t="n">
        <f aca="false">-E180/100*Datos_FMI!$G$9</f>
        <v>-661.2357849</v>
      </c>
      <c r="F182" s="34" t="n">
        <f aca="false">-F180/100*Datos_FMI!$H$9</f>
        <v>-602.9976559185</v>
      </c>
      <c r="G182" s="34" t="n">
        <f aca="false">-G180/100*Datos_FMI!$I$9</f>
        <v>-418.824243553203</v>
      </c>
      <c r="H182" s="51" t="s">
        <v>119</v>
      </c>
    </row>
    <row r="183" customFormat="false" ht="15" hidden="false" customHeight="false" outlineLevel="0" collapsed="false">
      <c r="B183" s="21" t="s">
        <v>386</v>
      </c>
      <c r="C183" s="52" t="n">
        <v>0</v>
      </c>
      <c r="D183" s="34" t="n">
        <f aca="false">D162*D190</f>
        <v>0</v>
      </c>
      <c r="E183" s="34" t="n">
        <f aca="false">E162*E190</f>
        <v>0</v>
      </c>
      <c r="F183" s="34" t="n">
        <f aca="false">F162*F190</f>
        <v>0</v>
      </c>
      <c r="G183" s="34" t="n">
        <f aca="false">G162*G190</f>
        <v>0</v>
      </c>
      <c r="H183" s="51" t="s">
        <v>119</v>
      </c>
    </row>
    <row r="184" customFormat="false" ht="15" hidden="false" customHeight="false" outlineLevel="0" collapsed="false">
      <c r="B184" s="21" t="s">
        <v>406</v>
      </c>
      <c r="C184" s="52" t="n">
        <v>0</v>
      </c>
      <c r="D184" s="34" t="n">
        <f aca="false">MIN(cap_dom/100*Datos_FMI!$F$9,MAX(0,D182-D183))</f>
        <v>0</v>
      </c>
      <c r="E184" s="34" t="n">
        <f aca="false">MIN(cap_dom/100*Datos_FMI!$G$9,MAX(0,E182-E183))</f>
        <v>0</v>
      </c>
      <c r="F184" s="34" t="n">
        <f aca="false">MIN(cap_dom/100*Datos_FMI!$H$9,MAX(0,F182-F183))</f>
        <v>0</v>
      </c>
      <c r="G184" s="34" t="n">
        <f aca="false">MIN(cap_dom/100*Datos_FMI!$I$9,MAX(0,G182-G183))</f>
        <v>0</v>
      </c>
      <c r="H184" s="51" t="s">
        <v>119</v>
      </c>
    </row>
    <row r="185" customFormat="false" ht="15" hidden="false" customHeight="false" outlineLevel="0" collapsed="false">
      <c r="B185" s="21" t="s">
        <v>407</v>
      </c>
      <c r="C185" s="50" t="n">
        <v>0</v>
      </c>
      <c r="D185" s="37" t="n">
        <f aca="false">D184/Datos_FMI!$F$9*100</f>
        <v>0</v>
      </c>
      <c r="E185" s="37" t="n">
        <f aca="false">E184/Datos_FMI!$G$9*100</f>
        <v>0</v>
      </c>
      <c r="F185" s="37" t="n">
        <f aca="false">F184/Datos_FMI!$H$9*100</f>
        <v>0</v>
      </c>
      <c r="G185" s="37" t="n">
        <f aca="false">G184/Datos_FMI!$I$9*100</f>
        <v>0</v>
      </c>
      <c r="H185" s="51" t="s">
        <v>254</v>
      </c>
    </row>
    <row r="186" customFormat="false" ht="15" hidden="false" customHeight="false" outlineLevel="0" collapsed="false">
      <c r="B186" s="21" t="s">
        <v>408</v>
      </c>
      <c r="C186" s="52" t="n">
        <v>0</v>
      </c>
      <c r="D186" s="34" t="n">
        <f aca="false">MAX(0,D182-D183-D184)</f>
        <v>0</v>
      </c>
      <c r="E186" s="34" t="n">
        <f aca="false">MAX(0,E182-E183-E184)</f>
        <v>0</v>
      </c>
      <c r="F186" s="34" t="n">
        <f aca="false">MAX(0,F182-F183-F184)</f>
        <v>0</v>
      </c>
      <c r="G186" s="34" t="n">
        <f aca="false">MAX(0,G182-G183-G184)</f>
        <v>0</v>
      </c>
      <c r="H186" s="51" t="s">
        <v>119</v>
      </c>
    </row>
    <row r="187" customFormat="false" ht="15" hidden="false" customHeight="false" outlineLevel="0" collapsed="false">
      <c r="B187" s="48" t="s">
        <v>409</v>
      </c>
      <c r="C187" s="49"/>
      <c r="D187" s="49"/>
      <c r="E187" s="49"/>
      <c r="F187" s="49"/>
      <c r="G187" s="49"/>
      <c r="H187" s="49"/>
    </row>
    <row r="188" customFormat="false" ht="15" hidden="false" customHeight="false" outlineLevel="0" collapsed="false">
      <c r="B188" s="21" t="s">
        <v>410</v>
      </c>
      <c r="C188" s="50" t="n">
        <v>0</v>
      </c>
      <c r="D188" s="37" t="n">
        <f aca="false">D161+bm_dep*D159</f>
        <v>0</v>
      </c>
      <c r="E188" s="37" t="n">
        <f aca="false">E161+bm_dep*E159</f>
        <v>0.75</v>
      </c>
      <c r="F188" s="37" t="n">
        <f aca="false">F161+bm_dep*F159</f>
        <v>0.5</v>
      </c>
      <c r="G188" s="37" t="n">
        <f aca="false">G161+bm_dep*G159</f>
        <v>0.25</v>
      </c>
      <c r="H188" s="51" t="s">
        <v>353</v>
      </c>
    </row>
    <row r="189" customFormat="false" ht="15" hidden="false" customHeight="false" outlineLevel="0" collapsed="false">
      <c r="B189" s="21" t="s">
        <v>411</v>
      </c>
      <c r="C189" s="50" t="n">
        <v>0</v>
      </c>
      <c r="D189" s="37" t="n">
        <f aca="false">C189+D188</f>
        <v>0</v>
      </c>
      <c r="E189" s="37" t="n">
        <f aca="false">D189+E188</f>
        <v>0.75</v>
      </c>
      <c r="F189" s="37" t="n">
        <f aca="false">E189+F188</f>
        <v>1.25</v>
      </c>
      <c r="G189" s="37" t="n">
        <f aca="false">F189+G188</f>
        <v>1.5</v>
      </c>
      <c r="H189" s="51" t="s">
        <v>114</v>
      </c>
    </row>
    <row r="190" customFormat="false" ht="15" hidden="false" customHeight="false" outlineLevel="0" collapsed="false">
      <c r="B190" s="21" t="s">
        <v>412</v>
      </c>
      <c r="C190" s="50" t="n">
        <f aca="false">12.8</f>
        <v>12.8</v>
      </c>
      <c r="D190" s="37" t="n">
        <f aca="false">Datos_FMI!$F$42*(1+D189/100)</f>
        <v>9.40463592699328</v>
      </c>
      <c r="E190" s="37" t="n">
        <f aca="false">Datos_FMI!$G$42*(1+E189/100)</f>
        <v>13.2620405508919</v>
      </c>
      <c r="F190" s="37" t="n">
        <f aca="false">Datos_FMI!$H$42*(1+F189/100)</f>
        <v>13.5392381400318</v>
      </c>
      <c r="G190" s="37" t="n">
        <f aca="false">Datos_FMI!$I$42*(1+G189/100)</f>
        <v>13.7718622371795</v>
      </c>
      <c r="H190" s="51" t="s">
        <v>168</v>
      </c>
    </row>
    <row r="191" customFormat="false" ht="15" hidden="false" customHeight="false" outlineLevel="0" collapsed="false">
      <c r="B191" s="21" t="s">
        <v>413</v>
      </c>
      <c r="C191" s="50" t="n">
        <v>0</v>
      </c>
      <c r="D191" s="37" t="n">
        <f aca="false">-phi_sub*(D154-C154)+mu_bm*(D159+D186/Datos_FMI!$F$34*100)+eta*D172+psi*D188+tax_pi*D156</f>
        <v>0.0075</v>
      </c>
      <c r="E191" s="37" t="n">
        <f aca="false">-phi_sub*(E154-D154)+mu_bm*(E159+E186/Datos_FMI!$G$34*100)+eta*E172+psi*E188+tax_pi*E156</f>
        <v>1.305</v>
      </c>
      <c r="F191" s="37" t="n">
        <f aca="false">-phi_sub*(F154-E154)+mu_bm*(F159+F186/Datos_FMI!$H$34*100)+eta*F172+psi*F188+tax_pi*F156</f>
        <v>0.91</v>
      </c>
      <c r="G191" s="37" t="n">
        <f aca="false">-phi_sub*(G154-F154)+mu_bm*(G159+G186/Datos_FMI!$I$34*100)+eta*G172+psi*G188+tax_pi*G156</f>
        <v>0.485</v>
      </c>
      <c r="H191" s="51" t="s">
        <v>353</v>
      </c>
    </row>
    <row r="192" customFormat="false" ht="15" hidden="false" customHeight="false" outlineLevel="0" collapsed="false">
      <c r="B192" s="21" t="s">
        <v>414</v>
      </c>
      <c r="C192" s="50" t="n">
        <f aca="false">Datos_FMI!$E$7+C191</f>
        <v>19.5</v>
      </c>
      <c r="D192" s="37" t="n">
        <f aca="false">Datos_FMI!$F$7+D191</f>
        <v>12.7075</v>
      </c>
      <c r="E192" s="37" t="n">
        <f aca="false">Datos_FMI!$G$7+E191</f>
        <v>17.105</v>
      </c>
      <c r="F192" s="37" t="n">
        <f aca="false">Datos_FMI!$H$7+F191</f>
        <v>9.11</v>
      </c>
      <c r="G192" s="37" t="n">
        <f aca="false">Datos_FMI!$I$7+G191</f>
        <v>7.785</v>
      </c>
      <c r="H192" s="51" t="s">
        <v>114</v>
      </c>
    </row>
    <row r="193" customFormat="false" ht="15" hidden="false" customHeight="false" outlineLevel="0" collapsed="false">
      <c r="B193" s="21" t="s">
        <v>415</v>
      </c>
      <c r="C193" s="50" t="n">
        <f aca="false">Datos_FMI!$E$8+C191</f>
        <v>20.4</v>
      </c>
      <c r="D193" s="37" t="n">
        <f aca="false">Datos_FMI!$F$8+D191</f>
        <v>14.2075</v>
      </c>
      <c r="E193" s="37" t="n">
        <f aca="false">Datos_FMI!$G$8+E191</f>
        <v>12.005</v>
      </c>
      <c r="F193" s="37" t="n">
        <f aca="false">Datos_FMI!$H$8+F191</f>
        <v>9.61</v>
      </c>
      <c r="G193" s="37" t="n">
        <f aca="false">Datos_FMI!$I$8+G191</f>
        <v>6.685</v>
      </c>
      <c r="H193" s="51" t="s">
        <v>114</v>
      </c>
    </row>
    <row r="194" customFormat="false" ht="15" hidden="false" customHeight="false" outlineLevel="0" collapsed="false">
      <c r="B194" s="21" t="s">
        <v>416</v>
      </c>
      <c r="C194" s="50" t="n">
        <v>0</v>
      </c>
      <c r="D194" s="37" t="n">
        <f aca="false">C194+D191</f>
        <v>0.0075</v>
      </c>
      <c r="E194" s="37" t="n">
        <f aca="false">D194+E191</f>
        <v>1.3125</v>
      </c>
      <c r="F194" s="37" t="n">
        <f aca="false">E194+F191</f>
        <v>2.2225</v>
      </c>
      <c r="G194" s="37" t="n">
        <f aca="false">F194+G191</f>
        <v>2.7075</v>
      </c>
      <c r="H194" s="51" t="s">
        <v>114</v>
      </c>
    </row>
    <row r="195" customFormat="false" ht="15" hidden="false" customHeight="false" outlineLevel="0" collapsed="false">
      <c r="B195" s="21" t="s">
        <v>417</v>
      </c>
      <c r="C195" s="52" t="n">
        <f aca="false">Datos_FMI!$E$9*(1+C174/100)*(1+C194/100)</f>
        <v>447553</v>
      </c>
      <c r="D195" s="34" t="n">
        <f aca="false">Datos_FMI!$F$9*(1+D174/100)*(1+D194/100)</f>
        <v>506580.908018798</v>
      </c>
      <c r="E195" s="34" t="n">
        <f aca="false">Datos_FMI!$G$9*(1+E174/100)*(1+E194/100)</f>
        <v>589404.50942125</v>
      </c>
      <c r="F195" s="34" t="n">
        <f aca="false">Datos_FMI!$H$9*(1+F174/100)*(1+F194/100)</f>
        <v>641388.155173415</v>
      </c>
      <c r="G195" s="34" t="n">
        <f aca="false">Datos_FMI!$I$9*(1+G174/100)*(1+G194/100)</f>
        <v>706942.285714665</v>
      </c>
      <c r="H195" s="51" t="s">
        <v>119</v>
      </c>
    </row>
    <row r="196" customFormat="false" ht="15" hidden="false" customHeight="false" outlineLevel="0" collapsed="false">
      <c r="B196" s="48" t="s">
        <v>418</v>
      </c>
      <c r="C196" s="49"/>
      <c r="D196" s="49"/>
      <c r="E196" s="49"/>
      <c r="F196" s="49"/>
      <c r="G196" s="49"/>
      <c r="H196" s="49"/>
    </row>
    <row r="197" customFormat="false" ht="15" hidden="false" customHeight="false" outlineLevel="0" collapsed="false">
      <c r="B197" s="21" t="s">
        <v>419</v>
      </c>
      <c r="C197" s="52" t="n">
        <v>0</v>
      </c>
      <c r="D197" s="34" t="n">
        <f aca="false">C197+D182</f>
        <v>-30.38346</v>
      </c>
      <c r="E197" s="34" t="n">
        <f aca="false">D197+E182</f>
        <v>-691.6192449</v>
      </c>
      <c r="F197" s="34" t="n">
        <f aca="false">E197+F182</f>
        <v>-1294.6169008185</v>
      </c>
      <c r="G197" s="34" t="n">
        <f aca="false">F197+G182</f>
        <v>-1713.4411443717</v>
      </c>
      <c r="H197" s="51" t="s">
        <v>119</v>
      </c>
    </row>
    <row r="198" customFormat="false" ht="15" hidden="false" customHeight="false" outlineLevel="0" collapsed="false">
      <c r="B198" s="21" t="s">
        <v>420</v>
      </c>
      <c r="C198" s="52" t="n">
        <v>0</v>
      </c>
      <c r="D198" s="34" t="n">
        <f aca="false">D197+Datos_FMI!$F$22*D189/100</f>
        <v>-30.38346</v>
      </c>
      <c r="E198" s="34" t="n">
        <f aca="false">E197+Datos_FMI!$G$22*E189/100</f>
        <v>1030.8157551</v>
      </c>
      <c r="F198" s="34" t="n">
        <f aca="false">F197+Datos_FMI!$H$22*F189/100</f>
        <v>1691.7580991815</v>
      </c>
      <c r="G198" s="34" t="n">
        <f aca="false">G197+Datos_FMI!$I$22*G189/100</f>
        <v>2028.8788556283</v>
      </c>
      <c r="H198" s="51" t="s">
        <v>119</v>
      </c>
    </row>
    <row r="199" customFormat="false" ht="15" hidden="false" customHeight="false" outlineLevel="0" collapsed="false">
      <c r="B199" s="21" t="s">
        <v>421</v>
      </c>
      <c r="C199" s="50" t="n">
        <f aca="false">(Datos_FMI!$E$21+C198)/C195*100</f>
        <v>83.3168362182803</v>
      </c>
      <c r="D199" s="37" t="n">
        <f aca="false">(Datos_FMI!$F$21+D198)/D195*100</f>
        <v>100.434029093161</v>
      </c>
      <c r="E199" s="37" t="n">
        <f aca="false">(Datos_FMI!$G$21+E198)/E195*100</f>
        <v>93.7393262052943</v>
      </c>
      <c r="F199" s="37" t="n">
        <f aca="false">(Datos_FMI!$H$21+F198)/F195*100</f>
        <v>90.3957694607599</v>
      </c>
      <c r="G199" s="37" t="n">
        <f aca="false">(Datos_FMI!$I$21+G198)/G195*100</f>
        <v>85.8300445618741</v>
      </c>
      <c r="H199" s="51" t="s">
        <v>122</v>
      </c>
    </row>
    <row r="200" customFormat="false" ht="15" hidden="false" customHeight="false" outlineLevel="0" collapsed="false">
      <c r="B200" s="48" t="s">
        <v>422</v>
      </c>
      <c r="C200" s="49"/>
      <c r="D200" s="49"/>
      <c r="E200" s="49"/>
      <c r="F200" s="49"/>
      <c r="G200" s="49"/>
      <c r="H200" s="49"/>
    </row>
    <row r="201" customFormat="false" ht="15" hidden="false" customHeight="false" outlineLevel="0" collapsed="false">
      <c r="B201" s="21" t="s">
        <v>423</v>
      </c>
      <c r="C201" s="52" t="n">
        <v>0</v>
      </c>
      <c r="D201" s="34" t="n">
        <f aca="false">D162-D163-imp_el*D172/100*Datos_FMI!$F$24-sub_leak*D154/100*Datos_FMI!$F$41-bm_flight*D159-monet_leak*D186/D190</f>
        <v>-5.6214</v>
      </c>
      <c r="E201" s="34" t="n">
        <f aca="false">E162-E163-imp_el*E172/100*Datos_FMI!$G$24-sub_leak*E154/100*Datos_FMI!$G$41-bm_flight*E159-monet_leak*E186/E190</f>
        <v>-195.92595</v>
      </c>
      <c r="F201" s="34" t="n">
        <f aca="false">F162-F163-imp_el*F172/100*Datos_FMI!$H$24-sub_leak*F154/100*Datos_FMI!$H$41-bm_flight*F159-monet_leak*F186/F190</f>
        <v>-167.0982</v>
      </c>
      <c r="G201" s="34" t="n">
        <f aca="false">G162-G163-imp_el*G172/100*Datos_FMI!$I$24-sub_leak*G154/100*Datos_FMI!$I$41-bm_flight*G159-monet_leak*G186/G190</f>
        <v>-112.134</v>
      </c>
      <c r="H201" s="51" t="s">
        <v>140</v>
      </c>
    </row>
    <row r="202" customFormat="false" ht="15" hidden="false" customHeight="false" outlineLevel="0" collapsed="false">
      <c r="B202" s="21" t="s">
        <v>424</v>
      </c>
      <c r="C202" s="52" t="n">
        <v>0</v>
      </c>
      <c r="D202" s="34" t="n">
        <f aca="false">C202+D201</f>
        <v>-5.6214</v>
      </c>
      <c r="E202" s="34" t="n">
        <f aca="false">D202+E201</f>
        <v>-201.54735</v>
      </c>
      <c r="F202" s="34" t="n">
        <f aca="false">E202+F201</f>
        <v>-368.64555</v>
      </c>
      <c r="G202" s="34" t="n">
        <f aca="false">F202+G201</f>
        <v>-480.77955</v>
      </c>
      <c r="H202" s="51" t="s">
        <v>140</v>
      </c>
    </row>
    <row r="203" customFormat="false" ht="15" hidden="false" customHeight="false" outlineLevel="0" collapsed="false">
      <c r="B203" s="21" t="s">
        <v>425</v>
      </c>
      <c r="C203" s="52" t="n">
        <f aca="false">Datos_FMI!$E$31+C202</f>
        <v>-2990</v>
      </c>
      <c r="D203" s="34" t="n">
        <f aca="false">Datos_FMI!$F$31+D202</f>
        <v>-586.6214</v>
      </c>
      <c r="E203" s="34" t="n">
        <f aca="false">Datos_FMI!$G$31+E202</f>
        <v>542.45265</v>
      </c>
      <c r="F203" s="34" t="n">
        <f aca="false">Datos_FMI!$H$31+F202</f>
        <v>935.35445</v>
      </c>
      <c r="G203" s="34" t="n">
        <f aca="false">Datos_FMI!$I$31+G202</f>
        <v>1397.22045</v>
      </c>
      <c r="H203" s="51" t="s">
        <v>140</v>
      </c>
    </row>
    <row r="204" customFormat="false" ht="15" hidden="false" customHeight="false" outlineLevel="0" collapsed="false">
      <c r="B204" s="21" t="s">
        <v>426</v>
      </c>
      <c r="C204" s="52" t="n">
        <f aca="false">Datos_FMI!$E$28+C202</f>
        <v>627</v>
      </c>
      <c r="D204" s="34" t="n">
        <f aca="false">Datos_FMI!$F$28+D202</f>
        <v>2452.3786</v>
      </c>
      <c r="E204" s="34" t="n">
        <f aca="false">Datos_FMI!$G$28+E202</f>
        <v>3780.45265</v>
      </c>
      <c r="F204" s="34" t="n">
        <f aca="false">Datos_FMI!$H$28+F202</f>
        <v>4321.35445</v>
      </c>
      <c r="G204" s="34" t="n">
        <f aca="false">Datos_FMI!$I$28+G202</f>
        <v>5046.22045</v>
      </c>
      <c r="H204" s="51" t="s">
        <v>140</v>
      </c>
    </row>
    <row r="205" customFormat="false" ht="15" hidden="false" customHeight="false" outlineLevel="0" collapsed="false">
      <c r="B205" s="21" t="s">
        <v>427</v>
      </c>
      <c r="C205" s="50" t="n">
        <f aca="false">Datos_FMI!$E$29*C204/Datos_FMI!$E$28</f>
        <v>10.9</v>
      </c>
      <c r="D205" s="37" t="n">
        <f aca="false">Datos_FMI!$F$29*D204/Datos_FMI!$F$28</f>
        <v>53.2778751993491</v>
      </c>
      <c r="E205" s="37" t="n">
        <f aca="false">Datos_FMI!$G$29*E204/Datos_FMI!$G$28</f>
        <v>81.7420826632346</v>
      </c>
      <c r="F205" s="37" t="n">
        <f aca="false">Datos_FMI!$H$29*F204/Datos_FMI!$H$28</f>
        <v>92.2318934850746</v>
      </c>
      <c r="G205" s="37" t="n">
        <f aca="false">Datos_FMI!$I$29*G204/Datos_FMI!$I$28</f>
        <v>102.531311115433</v>
      </c>
      <c r="H205" s="51" t="s">
        <v>114</v>
      </c>
    </row>
    <row r="206" customFormat="false" ht="15" hidden="false" customHeight="false" outlineLevel="0" collapsed="false">
      <c r="B206" s="48" t="s">
        <v>428</v>
      </c>
      <c r="C206" s="49"/>
      <c r="D206" s="49"/>
      <c r="E206" s="49"/>
      <c r="F206" s="49"/>
      <c r="G206" s="49"/>
      <c r="H206" s="49"/>
    </row>
    <row r="207" customFormat="false" ht="15" hidden="false" customHeight="false" outlineLevel="0" collapsed="false">
      <c r="B207" s="21" t="s">
        <v>429</v>
      </c>
      <c r="C207" s="50" t="n">
        <f aca="false">Datos_FMI!$E$32+C169</f>
        <v>3.1</v>
      </c>
      <c r="D207" s="37" t="n">
        <f aca="false">Datos_FMI!$F$32+D169</f>
        <v>4.25</v>
      </c>
      <c r="E207" s="37" t="n">
        <f aca="false">Datos_FMI!$G$32+E169</f>
        <v>12.05</v>
      </c>
      <c r="F207" s="37" t="n">
        <f aca="false">Datos_FMI!$H$32+F169</f>
        <v>11.8</v>
      </c>
      <c r="G207" s="37" t="n">
        <f aca="false">Datos_FMI!$I$32+G169</f>
        <v>12.75</v>
      </c>
      <c r="H207" s="51" t="s">
        <v>114</v>
      </c>
    </row>
    <row r="208" customFormat="false" ht="15" hidden="false" customHeight="false" outlineLevel="0" collapsed="false">
      <c r="B208" s="21" t="s">
        <v>430</v>
      </c>
      <c r="C208" s="50" t="n">
        <v>0</v>
      </c>
      <c r="D208" s="37" t="n">
        <f aca="false">C208+D159</f>
        <v>0</v>
      </c>
      <c r="E208" s="37" t="n">
        <f aca="false">D208+E159</f>
        <v>1.5</v>
      </c>
      <c r="F208" s="37" t="n">
        <f aca="false">E208+F159</f>
        <v>2.5</v>
      </c>
      <c r="G208" s="37" t="n">
        <f aca="false">F208+G159</f>
        <v>3</v>
      </c>
      <c r="H208" s="51" t="s">
        <v>114</v>
      </c>
    </row>
    <row r="209" customFormat="false" ht="15" hidden="false" customHeight="false" outlineLevel="0" collapsed="false">
      <c r="B209" s="21" t="s">
        <v>431</v>
      </c>
      <c r="C209" s="52" t="n">
        <v>0</v>
      </c>
      <c r="D209" s="34" t="n">
        <f aca="false">C209+D186</f>
        <v>0</v>
      </c>
      <c r="E209" s="34" t="n">
        <f aca="false">D209+E186</f>
        <v>0</v>
      </c>
      <c r="F209" s="34" t="n">
        <f aca="false">E209+F186</f>
        <v>0</v>
      </c>
      <c r="G209" s="34" t="n">
        <f aca="false">F209+G186</f>
        <v>0</v>
      </c>
      <c r="H209" s="51" t="s">
        <v>119</v>
      </c>
    </row>
    <row r="210" customFormat="false" ht="15" hidden="false" customHeight="false" outlineLevel="0" collapsed="false">
      <c r="B210" s="21" t="s">
        <v>432</v>
      </c>
      <c r="C210" s="52" t="n">
        <f aca="false">Datos_FMI!$E$34</f>
        <v>132269</v>
      </c>
      <c r="D210" s="34" t="n">
        <f aca="false">meta_bm*(1+D208/100)+D209</f>
        <v>133900</v>
      </c>
      <c r="E210" s="34" t="n">
        <f aca="false">Datos_FMI!$G$34*(1+E208/100)+E209</f>
        <v>150557.995</v>
      </c>
      <c r="F210" s="34" t="n">
        <f aca="false">Datos_FMI!$H$34*(1+F208/100)+F209</f>
        <v>165336.6</v>
      </c>
      <c r="G210" s="34" t="n">
        <f aca="false">Datos_FMI!$I$34*(1+G208/100)+G209</f>
        <v>182323.39</v>
      </c>
      <c r="H210" s="51" t="s">
        <v>119</v>
      </c>
    </row>
    <row r="211" customFormat="false" ht="15" hidden="false" customHeight="false" outlineLevel="0" collapsed="false">
      <c r="B211" s="48" t="s">
        <v>433</v>
      </c>
      <c r="C211" s="49"/>
      <c r="D211" s="49"/>
      <c r="E211" s="49"/>
      <c r="F211" s="49"/>
      <c r="G211" s="49"/>
      <c r="H211" s="49"/>
    </row>
    <row r="212" customFormat="false" ht="15" hidden="false" customHeight="false" outlineLevel="0" collapsed="false">
      <c r="B212" s="21" t="s">
        <v>434</v>
      </c>
      <c r="C212" s="52" t="n">
        <f aca="false">Datos_FMI!$E$14+C155/100*Datos_FMI!$E$9</f>
        <v>5525</v>
      </c>
      <c r="D212" s="34" t="n">
        <f aca="false">Datos_FMI!$F$14+D155/100*Datos_FMI!$F$9</f>
        <v>10890</v>
      </c>
      <c r="E212" s="34" t="n">
        <f aca="false">Datos_FMI!$G$14+E155/100*Datos_FMI!$G$9</f>
        <v>12722.578</v>
      </c>
      <c r="F212" s="34" t="n">
        <f aca="false">Datos_FMI!$H$14+F155/100*Datos_FMI!$H$9</f>
        <v>8064.823</v>
      </c>
      <c r="G212" s="34" t="n">
        <f aca="false">Datos_FMI!$I$14+G155/100*Datos_FMI!$I$9</f>
        <v>8813.142</v>
      </c>
      <c r="H212" s="51" t="s">
        <v>119</v>
      </c>
    </row>
    <row r="213" customFormat="false" ht="15" hidden="false" customHeight="false" outlineLevel="0" collapsed="false">
      <c r="B213" s="21" t="s">
        <v>435</v>
      </c>
      <c r="C213" s="52" t="n">
        <v>0</v>
      </c>
      <c r="D213" s="34" t="n">
        <f aca="false">emp_el*D174/100*pea</f>
        <v>0.96</v>
      </c>
      <c r="E213" s="34" t="n">
        <f aca="false">emp_el*E174/100*pea</f>
        <v>19.2</v>
      </c>
      <c r="F213" s="34" t="n">
        <f aca="false">emp_el*F174/100*pea</f>
        <v>36.48</v>
      </c>
      <c r="G213" s="34" t="n">
        <f aca="false">emp_el*G174/100*pea</f>
        <v>48.96</v>
      </c>
      <c r="H213" s="51" t="s">
        <v>315</v>
      </c>
    </row>
    <row r="214" customFormat="false" ht="15" hidden="false" customHeight="false" outlineLevel="0" collapsed="false">
      <c r="B214" s="21" t="s">
        <v>436</v>
      </c>
      <c r="C214" s="50" t="n">
        <v>0</v>
      </c>
      <c r="D214" s="37" t="n">
        <f aca="false">-pov_g*D174-pov_soc*D155+pov_pi*D191-pov_sub*D154</f>
        <v>-0.019875</v>
      </c>
      <c r="E214" s="37" t="n">
        <f aca="false">-pov_g*E174-pov_soc*E155+pov_pi*E191-pov_sub*E154</f>
        <v>-0.22425</v>
      </c>
      <c r="F214" s="37" t="n">
        <f aca="false">-pov_g*F174-pov_soc*F155+pov_pi*F191-pov_sub*F154</f>
        <v>-0.6615</v>
      </c>
      <c r="G214" s="37" t="n">
        <f aca="false">-pov_g*G174-pov_soc*G155+pov_pi*G191-pov_sub*G154</f>
        <v>-0.99825</v>
      </c>
      <c r="H214" s="51" t="s">
        <v>353</v>
      </c>
    </row>
    <row r="215" customFormat="false" ht="15" hidden="false" customHeight="false" outlineLevel="0" collapsed="false">
      <c r="B215" s="21" t="s">
        <v>437</v>
      </c>
      <c r="C215" s="50" t="n">
        <v>0</v>
      </c>
      <c r="D215" s="37" t="n">
        <f aca="false">-gini_tpr*D157-gini_soc*D155</f>
        <v>-0</v>
      </c>
      <c r="E215" s="37" t="n">
        <f aca="false">-gini_tpr*E157-gini_soc*E155</f>
        <v>-0</v>
      </c>
      <c r="F215" s="37" t="n">
        <f aca="false">-gini_tpr*F157-gini_soc*F155</f>
        <v>-0</v>
      </c>
      <c r="G215" s="37" t="n">
        <f aca="false">-gini_tpr*G157-gini_soc*G155</f>
        <v>-0</v>
      </c>
      <c r="H215" s="51" t="s">
        <v>438</v>
      </c>
    </row>
    <row r="221" customFormat="false" ht="15" hidden="false" customHeight="false" outlineLevel="0" collapsed="false">
      <c r="B221" s="46" t="s">
        <v>364</v>
      </c>
      <c r="C221" s="47"/>
      <c r="D221" s="47"/>
      <c r="E221" s="47"/>
      <c r="F221" s="47"/>
      <c r="G221" s="47"/>
      <c r="H221" s="47"/>
    </row>
    <row r="222" customFormat="false" ht="15" hidden="false" customHeight="false" outlineLevel="0" collapsed="false">
      <c r="B222" s="11" t="s">
        <v>374</v>
      </c>
      <c r="C222" s="11" t="s">
        <v>109</v>
      </c>
      <c r="D222" s="11" t="s">
        <v>99</v>
      </c>
      <c r="E222" s="11" t="s">
        <v>100</v>
      </c>
      <c r="F222" s="11" t="s">
        <v>101</v>
      </c>
      <c r="G222" s="11" t="s">
        <v>102</v>
      </c>
      <c r="H222" s="11" t="s">
        <v>107</v>
      </c>
    </row>
    <row r="223" customFormat="false" ht="15" hidden="false" customHeight="false" outlineLevel="0" collapsed="false">
      <c r="B223" s="48" t="s">
        <v>375</v>
      </c>
      <c r="C223" s="49"/>
      <c r="D223" s="49"/>
      <c r="E223" s="49"/>
      <c r="F223" s="49"/>
      <c r="G223" s="49"/>
      <c r="H223" s="49"/>
    </row>
    <row r="224" customFormat="false" ht="15" hidden="false" customHeight="false" outlineLevel="0" collapsed="false">
      <c r="B224" s="21" t="s">
        <v>376</v>
      </c>
      <c r="C224" s="50" t="n">
        <v>0</v>
      </c>
      <c r="D224" s="16" t="n">
        <f aca="false">Palancas!D62*ef26</f>
        <v>0</v>
      </c>
      <c r="E224" s="16" t="n">
        <f aca="false">Palancas!E62*1</f>
        <v>0</v>
      </c>
      <c r="F224" s="16" t="n">
        <f aca="false">Palancas!F62*1</f>
        <v>0</v>
      </c>
      <c r="G224" s="16" t="n">
        <f aca="false">Palancas!G62*1</f>
        <v>0</v>
      </c>
      <c r="H224" s="51" t="s">
        <v>254</v>
      </c>
    </row>
    <row r="225" customFormat="false" ht="15" hidden="false" customHeight="false" outlineLevel="0" collapsed="false">
      <c r="B225" s="21" t="s">
        <v>377</v>
      </c>
      <c r="C225" s="50" t="n">
        <v>0</v>
      </c>
      <c r="D225" s="16" t="n">
        <f aca="false">Palancas!D63*ef26</f>
        <v>0</v>
      </c>
      <c r="E225" s="16" t="n">
        <f aca="false">Palancas!E63*1</f>
        <v>0</v>
      </c>
      <c r="F225" s="16" t="n">
        <f aca="false">Palancas!F63*1</f>
        <v>0</v>
      </c>
      <c r="G225" s="16" t="n">
        <f aca="false">Palancas!G63*1</f>
        <v>0</v>
      </c>
      <c r="H225" s="51" t="s">
        <v>254</v>
      </c>
    </row>
    <row r="226" customFormat="false" ht="15" hidden="false" customHeight="false" outlineLevel="0" collapsed="false">
      <c r="B226" s="21" t="s">
        <v>378</v>
      </c>
      <c r="C226" s="50" t="n">
        <v>0</v>
      </c>
      <c r="D226" s="16" t="n">
        <f aca="false">Palancas!D64*ef26</f>
        <v>0</v>
      </c>
      <c r="E226" s="16" t="n">
        <f aca="false">Palancas!E64*1</f>
        <v>0</v>
      </c>
      <c r="F226" s="16" t="n">
        <f aca="false">Palancas!F64*1</f>
        <v>0</v>
      </c>
      <c r="G226" s="16" t="n">
        <f aca="false">Palancas!G64*1</f>
        <v>0</v>
      </c>
      <c r="H226" s="51" t="s">
        <v>254</v>
      </c>
    </row>
    <row r="227" customFormat="false" ht="15" hidden="false" customHeight="false" outlineLevel="0" collapsed="false">
      <c r="B227" s="21" t="s">
        <v>379</v>
      </c>
      <c r="C227" s="50" t="n">
        <v>0</v>
      </c>
      <c r="D227" s="16" t="n">
        <f aca="false">Palancas!D65*ef26</f>
        <v>0</v>
      </c>
      <c r="E227" s="16" t="n">
        <f aca="false">Palancas!E65*1</f>
        <v>0</v>
      </c>
      <c r="F227" s="16" t="n">
        <f aca="false">Palancas!F65*1</f>
        <v>0</v>
      </c>
      <c r="G227" s="16" t="n">
        <f aca="false">Palancas!G65*1</f>
        <v>0</v>
      </c>
      <c r="H227" s="51" t="s">
        <v>254</v>
      </c>
    </row>
    <row r="228" customFormat="false" ht="15" hidden="false" customHeight="false" outlineLevel="0" collapsed="false">
      <c r="B228" s="21" t="s">
        <v>380</v>
      </c>
      <c r="C228" s="50" t="n">
        <v>0</v>
      </c>
      <c r="D228" s="16" t="n">
        <f aca="false">Palancas!D66*ef26*r_tev</f>
        <v>0</v>
      </c>
      <c r="E228" s="16" t="n">
        <f aca="false">Palancas!E66*1*r_tev</f>
        <v>0</v>
      </c>
      <c r="F228" s="16" t="n">
        <f aca="false">Palancas!F66*1*r_tev</f>
        <v>0</v>
      </c>
      <c r="G228" s="16" t="n">
        <f aca="false">Palancas!G66*1*r_tev</f>
        <v>0</v>
      </c>
      <c r="H228" s="51" t="s">
        <v>254</v>
      </c>
    </row>
    <row r="229" customFormat="false" ht="15" hidden="false" customHeight="false" outlineLevel="0" collapsed="false">
      <c r="B229" s="21" t="s">
        <v>381</v>
      </c>
      <c r="C229" s="50" t="n">
        <v>0</v>
      </c>
      <c r="D229" s="16" t="n">
        <f aca="false">Palancas!D67*ef26*r_tpr</f>
        <v>0</v>
      </c>
      <c r="E229" s="16" t="n">
        <f aca="false">Palancas!E67*1*r_tpr</f>
        <v>0</v>
      </c>
      <c r="F229" s="16" t="n">
        <f aca="false">Palancas!F67*1*r_tpr</f>
        <v>0</v>
      </c>
      <c r="G229" s="16" t="n">
        <f aca="false">Palancas!G67*1*r_tpr</f>
        <v>0</v>
      </c>
      <c r="H229" s="51" t="s">
        <v>254</v>
      </c>
    </row>
    <row r="230" customFormat="false" ht="15" hidden="false" customHeight="false" outlineLevel="0" collapsed="false">
      <c r="B230" s="21" t="s">
        <v>382</v>
      </c>
      <c r="C230" s="50" t="n">
        <v>0</v>
      </c>
      <c r="D230" s="16" t="n">
        <f aca="false">Palancas!D68*ef26*r_tex</f>
        <v>0</v>
      </c>
      <c r="E230" s="16" t="n">
        <f aca="false">Palancas!E68*1*r_tex</f>
        <v>0</v>
      </c>
      <c r="F230" s="16" t="n">
        <f aca="false">Palancas!F68*1*r_tex</f>
        <v>0</v>
      </c>
      <c r="G230" s="16" t="n">
        <f aca="false">Palancas!G68*1*r_tex</f>
        <v>0</v>
      </c>
      <c r="H230" s="51" t="s">
        <v>254</v>
      </c>
    </row>
    <row r="231" customFormat="false" ht="15" hidden="false" customHeight="false" outlineLevel="0" collapsed="false">
      <c r="B231" s="21" t="s">
        <v>383</v>
      </c>
      <c r="C231" s="50" t="n">
        <v>0</v>
      </c>
      <c r="D231" s="16" t="n">
        <f aca="false">Palancas!D69*ef26</f>
        <v>0</v>
      </c>
      <c r="E231" s="16" t="n">
        <f aca="false">Palancas!E69*1</f>
        <v>0</v>
      </c>
      <c r="F231" s="16" t="n">
        <f aca="false">Palancas!F69*1</f>
        <v>0</v>
      </c>
      <c r="G231" s="16" t="n">
        <f aca="false">Palancas!G69*1</f>
        <v>0</v>
      </c>
      <c r="H231" s="51" t="s">
        <v>353</v>
      </c>
    </row>
    <row r="232" customFormat="false" ht="15" hidden="false" customHeight="false" outlineLevel="0" collapsed="false">
      <c r="B232" s="21" t="s">
        <v>384</v>
      </c>
      <c r="C232" s="50" t="n">
        <v>0</v>
      </c>
      <c r="D232" s="16" t="n">
        <f aca="false">Palancas!D70*ef26</f>
        <v>0</v>
      </c>
      <c r="E232" s="16" t="n">
        <f aca="false">Palancas!E70*1</f>
        <v>0</v>
      </c>
      <c r="F232" s="16" t="n">
        <f aca="false">Palancas!F70*1</f>
        <v>0</v>
      </c>
      <c r="G232" s="16" t="n">
        <f aca="false">Palancas!G70*1</f>
        <v>0</v>
      </c>
      <c r="H232" s="51" t="s">
        <v>353</v>
      </c>
    </row>
    <row r="233" customFormat="false" ht="15" hidden="false" customHeight="false" outlineLevel="0" collapsed="false">
      <c r="B233" s="21" t="s">
        <v>385</v>
      </c>
      <c r="C233" s="50" t="n">
        <v>0</v>
      </c>
      <c r="D233" s="16" t="n">
        <f aca="false">Palancas!D71*ef26</f>
        <v>-0.5</v>
      </c>
      <c r="E233" s="16" t="n">
        <f aca="false">Palancas!E71*1</f>
        <v>-4</v>
      </c>
      <c r="F233" s="16" t="n">
        <f aca="false">Palancas!F71*1</f>
        <v>-2</v>
      </c>
      <c r="G233" s="16" t="n">
        <f aca="false">Palancas!G71*1</f>
        <v>-1</v>
      </c>
      <c r="H233" s="51" t="s">
        <v>353</v>
      </c>
    </row>
    <row r="234" customFormat="false" ht="15" hidden="false" customHeight="false" outlineLevel="0" collapsed="false">
      <c r="B234" s="21" t="s">
        <v>386</v>
      </c>
      <c r="C234" s="52" t="n">
        <v>0</v>
      </c>
      <c r="D234" s="14" t="n">
        <f aca="false">Palancas!D72</f>
        <v>0</v>
      </c>
      <c r="E234" s="14" t="n">
        <f aca="false">Palancas!E72</f>
        <v>0</v>
      </c>
      <c r="F234" s="14" t="n">
        <f aca="false">Palancas!F72</f>
        <v>0</v>
      </c>
      <c r="G234" s="14" t="n">
        <f aca="false">Palancas!G72</f>
        <v>0</v>
      </c>
      <c r="H234" s="51" t="s">
        <v>140</v>
      </c>
    </row>
    <row r="235" customFormat="false" ht="15" hidden="false" customHeight="false" outlineLevel="0" collapsed="false">
      <c r="B235" s="21" t="s">
        <v>387</v>
      </c>
      <c r="C235" s="52" t="n">
        <v>0</v>
      </c>
      <c r="D235" s="14" t="n">
        <f aca="false">Palancas!D73</f>
        <v>150</v>
      </c>
      <c r="E235" s="14" t="n">
        <f aca="false">Palancas!E73</f>
        <v>500</v>
      </c>
      <c r="F235" s="14" t="n">
        <f aca="false">Palancas!F73</f>
        <v>300</v>
      </c>
      <c r="G235" s="14" t="n">
        <f aca="false">Palancas!G73</f>
        <v>200</v>
      </c>
      <c r="H235" s="51" t="s">
        <v>140</v>
      </c>
    </row>
    <row r="236" customFormat="false" ht="15" hidden="false" customHeight="false" outlineLevel="0" collapsed="false">
      <c r="B236" s="48" t="s">
        <v>388</v>
      </c>
      <c r="C236" s="49"/>
      <c r="D236" s="49"/>
      <c r="E236" s="49"/>
      <c r="F236" s="49"/>
      <c r="G236" s="49"/>
      <c r="H236" s="49"/>
    </row>
    <row r="237" customFormat="false" ht="15" hidden="false" customHeight="false" outlineLevel="0" collapsed="false">
      <c r="B237" s="21" t="s">
        <v>389</v>
      </c>
      <c r="C237" s="50" t="n">
        <f aca="false">C224+C225+C226+C227</f>
        <v>0</v>
      </c>
      <c r="D237" s="37" t="n">
        <f aca="false">D224+D225+D226+D227</f>
        <v>0</v>
      </c>
      <c r="E237" s="37" t="n">
        <f aca="false">E224+E225+E226+E227</f>
        <v>0</v>
      </c>
      <c r="F237" s="37" t="n">
        <f aca="false">F224+F225+F226+F227</f>
        <v>0</v>
      </c>
      <c r="G237" s="37" t="n">
        <f aca="false">G224+G225+G226+G227</f>
        <v>0</v>
      </c>
      <c r="H237" s="51" t="s">
        <v>254</v>
      </c>
    </row>
    <row r="238" customFormat="false" ht="15" hidden="false" customHeight="false" outlineLevel="0" collapsed="false">
      <c r="B238" s="21" t="s">
        <v>390</v>
      </c>
      <c r="C238" s="50" t="n">
        <f aca="false">C228+C229+C230</f>
        <v>0</v>
      </c>
      <c r="D238" s="37" t="n">
        <f aca="false">D228+D229+D230</f>
        <v>0</v>
      </c>
      <c r="E238" s="37" t="n">
        <f aca="false">E228+E229+E230</f>
        <v>0</v>
      </c>
      <c r="F238" s="37" t="n">
        <f aca="false">F228+F229+F230</f>
        <v>0</v>
      </c>
      <c r="G238" s="37" t="n">
        <f aca="false">G228+G229+G230</f>
        <v>0</v>
      </c>
      <c r="H238" s="51" t="s">
        <v>254</v>
      </c>
    </row>
    <row r="239" customFormat="false" ht="15" hidden="false" customHeight="false" outlineLevel="0" collapsed="false">
      <c r="B239" s="21" t="s">
        <v>391</v>
      </c>
      <c r="C239" s="50" t="n">
        <f aca="false">C238-C237</f>
        <v>0</v>
      </c>
      <c r="D239" s="37" t="n">
        <f aca="false">D238-D237</f>
        <v>0</v>
      </c>
      <c r="E239" s="37" t="n">
        <f aca="false">E238-E237</f>
        <v>0</v>
      </c>
      <c r="F239" s="37" t="n">
        <f aca="false">F238-F237</f>
        <v>0</v>
      </c>
      <c r="G239" s="37" t="n">
        <f aca="false">G238-G237</f>
        <v>0</v>
      </c>
      <c r="H239" s="51" t="s">
        <v>254</v>
      </c>
    </row>
    <row r="240" customFormat="false" ht="15" hidden="false" customHeight="false" outlineLevel="0" collapsed="false">
      <c r="B240" s="48" t="s">
        <v>392</v>
      </c>
      <c r="C240" s="49"/>
      <c r="D240" s="49"/>
      <c r="E240" s="49"/>
      <c r="F240" s="49"/>
      <c r="G240" s="49"/>
      <c r="H240" s="49"/>
    </row>
    <row r="241" customFormat="false" ht="15" hidden="false" customHeight="false" outlineLevel="0" collapsed="false">
      <c r="B241" s="21" t="s">
        <v>393</v>
      </c>
      <c r="C241" s="50" t="n">
        <v>0</v>
      </c>
      <c r="D241" s="37" t="n">
        <f aca="false">D232+bm_cred*D231-crowd*C257/(Datos_FMI!$F$33/100)</f>
        <v>0</v>
      </c>
      <c r="E241" s="37" t="n">
        <f aca="false">E232+bm_cred*E231-crowd*D257/(Datos_FMI!$G$33/100)</f>
        <v>-0.00335570469798658</v>
      </c>
      <c r="F241" s="37" t="n">
        <f aca="false">F232+bm_cred*F231-crowd*E257/(Datos_FMI!$H$33/100)</f>
        <v>-0.0142652544703946</v>
      </c>
      <c r="G241" s="37" t="n">
        <f aca="false">G232+bm_cred*G231-crowd*F257/(Datos_FMI!$I$33/100)</f>
        <v>0</v>
      </c>
      <c r="H241" s="51" t="s">
        <v>353</v>
      </c>
    </row>
    <row r="242" customFormat="false" ht="15" hidden="false" customHeight="false" outlineLevel="0" collapsed="false">
      <c r="B242" s="21" t="s">
        <v>394</v>
      </c>
      <c r="C242" s="50" t="n">
        <v>0</v>
      </c>
      <c r="D242" s="37" t="n">
        <f aca="false">C242+D224</f>
        <v>0</v>
      </c>
      <c r="E242" s="37" t="n">
        <f aca="false">D242+E224</f>
        <v>0</v>
      </c>
      <c r="F242" s="37" t="n">
        <f aca="false">E242+F224</f>
        <v>0</v>
      </c>
      <c r="G242" s="37" t="n">
        <f aca="false">F242+G224</f>
        <v>0</v>
      </c>
      <c r="H242" s="51" t="s">
        <v>254</v>
      </c>
    </row>
    <row r="243" customFormat="false" ht="15" hidden="false" customHeight="false" outlineLevel="0" collapsed="false">
      <c r="B243" s="21" t="s">
        <v>395</v>
      </c>
      <c r="C243" s="50" t="n">
        <v>0</v>
      </c>
      <c r="D243" s="37" t="n">
        <f aca="false">kappa*MAX(0,-D239-tol)</f>
        <v>0</v>
      </c>
      <c r="E243" s="37" t="n">
        <f aca="false">kappa*MAX(0,-E239-tol)</f>
        <v>0</v>
      </c>
      <c r="F243" s="37" t="n">
        <f aca="false">kappa*MAX(0,-F239-tol)</f>
        <v>0</v>
      </c>
      <c r="G243" s="37" t="n">
        <f aca="false">kappa*MAX(0,-G239-tol)</f>
        <v>0</v>
      </c>
      <c r="H243" s="51" t="s">
        <v>353</v>
      </c>
    </row>
    <row r="244" customFormat="false" ht="15" hidden="false" customHeight="false" outlineLevel="0" collapsed="false">
      <c r="B244" s="21" t="s">
        <v>396</v>
      </c>
      <c r="C244" s="50" t="n">
        <v>0</v>
      </c>
      <c r="D244" s="37" t="n">
        <f aca="false">m_inv*D224+m_cur*D225+m_sub*D226+m_soc*D227-(m_tev*D228+m_tpr*D229+m_tex*D230)+eps_cred*D241+s_inv*C242+nu_dep*D233-D243</f>
        <v>-0.015</v>
      </c>
      <c r="E244" s="37" t="n">
        <f aca="false">m_inv*E224+m_cur*E225+m_sub*E226+m_soc*E227-(m_tev*E228+m_tpr*E229+m_tex*E230)+eps_cred*E241+s_inv*D242+nu_dep*E233-E243</f>
        <v>-0.120402684563758</v>
      </c>
      <c r="F244" s="37" t="n">
        <f aca="false">m_inv*F224+m_cur*F225+m_sub*F226+m_soc*F227-(m_tev*F228+m_tpr*F229+m_tex*F230)+eps_cred*F241+s_inv*E242+nu_dep*F233-F243</f>
        <v>-0.0617118305364474</v>
      </c>
      <c r="G244" s="37" t="n">
        <f aca="false">m_inv*G224+m_cur*G225+m_sub*G226+m_soc*G227-(m_tev*G228+m_tpr*G229+m_tex*G230)+eps_cred*G241+s_inv*F242+nu_dep*G233-G243</f>
        <v>-0.03</v>
      </c>
      <c r="H244" s="51" t="s">
        <v>353</v>
      </c>
    </row>
    <row r="245" customFormat="false" ht="15" hidden="false" customHeight="false" outlineLevel="0" collapsed="false">
      <c r="B245" s="21" t="s">
        <v>397</v>
      </c>
      <c r="C245" s="50" t="n">
        <f aca="false">Datos_FMI!$E$6+C244</f>
        <v>-1.6</v>
      </c>
      <c r="D245" s="37" t="n">
        <f aca="false">Datos_FMI!$F$6+D244</f>
        <v>-3.015</v>
      </c>
      <c r="E245" s="37" t="n">
        <f aca="false">Datos_FMI!$G$6+E244</f>
        <v>-1.62040268456376</v>
      </c>
      <c r="F245" s="37" t="n">
        <f aca="false">Datos_FMI!$H$6+F244</f>
        <v>0.438288169463553</v>
      </c>
      <c r="G245" s="37" t="n">
        <f aca="false">Datos_FMI!$I$6+G244</f>
        <v>2.47</v>
      </c>
      <c r="H245" s="51" t="s">
        <v>114</v>
      </c>
    </row>
    <row r="246" customFormat="false" ht="15" hidden="false" customHeight="false" outlineLevel="0" collapsed="false">
      <c r="B246" s="21" t="s">
        <v>398</v>
      </c>
      <c r="C246" s="50" t="n">
        <v>0</v>
      </c>
      <c r="D246" s="37" t="n">
        <f aca="false">C246+D244</f>
        <v>-0.015</v>
      </c>
      <c r="E246" s="37" t="n">
        <f aca="false">D246+E244</f>
        <v>-0.135402684563758</v>
      </c>
      <c r="F246" s="37" t="n">
        <f aca="false">E246+F244</f>
        <v>-0.197114515100206</v>
      </c>
      <c r="G246" s="37" t="n">
        <f aca="false">F246+G244</f>
        <v>-0.227114515100206</v>
      </c>
      <c r="H246" s="51" t="s">
        <v>114</v>
      </c>
    </row>
    <row r="247" customFormat="false" ht="15" hidden="false" customHeight="false" outlineLevel="0" collapsed="false">
      <c r="B247" s="48" t="s">
        <v>399</v>
      </c>
      <c r="C247" s="49"/>
      <c r="D247" s="49"/>
      <c r="E247" s="49"/>
      <c r="F247" s="49"/>
      <c r="G247" s="49"/>
      <c r="H247" s="49"/>
    </row>
    <row r="248" customFormat="false" ht="15" hidden="false" customHeight="false" outlineLevel="0" collapsed="false">
      <c r="B248" s="21" t="s">
        <v>400</v>
      </c>
      <c r="C248" s="50" t="n">
        <v>0</v>
      </c>
      <c r="D248" s="37" t="n">
        <f aca="false">D239+auto*D244</f>
        <v>-0.003</v>
      </c>
      <c r="E248" s="37" t="n">
        <f aca="false">E239+auto*E244</f>
        <v>-0.0240805369127517</v>
      </c>
      <c r="F248" s="37" t="n">
        <f aca="false">F239+auto*F244</f>
        <v>-0.0123423661072895</v>
      </c>
      <c r="G248" s="37" t="n">
        <f aca="false">G239+auto*G244</f>
        <v>-0.006</v>
      </c>
      <c r="H248" s="51" t="s">
        <v>254</v>
      </c>
    </row>
    <row r="249" customFormat="false" ht="15" hidden="false" customHeight="false" outlineLevel="0" collapsed="false">
      <c r="B249" s="21" t="s">
        <v>401</v>
      </c>
      <c r="C249" s="50" t="n">
        <f aca="false">Datos_FMI!$E$17+C248</f>
        <v>-8.8</v>
      </c>
      <c r="D249" s="37" t="n">
        <f aca="false">Datos_FMI!$F$17+D248</f>
        <v>-6.503</v>
      </c>
      <c r="E249" s="37" t="n">
        <f aca="false">Datos_FMI!$G$17+E248</f>
        <v>-3.02408053691275</v>
      </c>
      <c r="F249" s="37" t="n">
        <f aca="false">Datos_FMI!$H$17+F248</f>
        <v>-0.312342366107289</v>
      </c>
      <c r="G249" s="37" t="n">
        <f aca="false">Datos_FMI!$I$17+G248</f>
        <v>0.594</v>
      </c>
      <c r="H249" s="51" t="s">
        <v>122</v>
      </c>
    </row>
    <row r="250" customFormat="false" ht="15" hidden="false" customHeight="false" outlineLevel="0" collapsed="false">
      <c r="B250" s="21" t="s">
        <v>401</v>
      </c>
      <c r="C250" s="52" t="n">
        <f aca="false">Datos_FMI!$E$18+C248/100*Datos_FMI!$E$9</f>
        <v>-39587</v>
      </c>
      <c r="D250" s="34" t="n">
        <f aca="false">Datos_FMI!$F$18+D248/100*Datos_FMI!$F$9</f>
        <v>-32884.19173</v>
      </c>
      <c r="E250" s="34" t="n">
        <f aca="false">Datos_FMI!$G$18+E248/100*Datos_FMI!$G$9</f>
        <v>-17605.2575041611</v>
      </c>
      <c r="F250" s="34" t="n">
        <f aca="false">Datos_FMI!$H$18+F248/100*Datos_FMI!$H$9</f>
        <v>-1937.68146004345</v>
      </c>
      <c r="G250" s="34" t="n">
        <f aca="false">Datos_FMI!$I$18+G248/100*Datos_FMI!$I$9</f>
        <v>4026.92796</v>
      </c>
      <c r="H250" s="51" t="s">
        <v>119</v>
      </c>
    </row>
    <row r="251" customFormat="false" ht="15" hidden="false" customHeight="false" outlineLevel="0" collapsed="false">
      <c r="B251" s="21" t="s">
        <v>402</v>
      </c>
      <c r="C251" s="50" t="n">
        <v>0</v>
      </c>
      <c r="D251" s="37" t="n">
        <f aca="false">r_int*C270/Datos_FMI!$F$9*100</f>
        <v>0</v>
      </c>
      <c r="E251" s="37" t="n">
        <f aca="false">r_int*D270/Datos_FMI!$G$9*100</f>
        <v>-0.0113273994162189</v>
      </c>
      <c r="F251" s="37" t="n">
        <f aca="false">r_int*E270/Datos_FMI!$H$9*100</f>
        <v>-0.107350013978777</v>
      </c>
      <c r="G251" s="37" t="n">
        <f aca="false">r_int*F270/Datos_FMI!$I$9*100</f>
        <v>-0.153691133415166</v>
      </c>
      <c r="H251" s="51" t="s">
        <v>254</v>
      </c>
    </row>
    <row r="252" customFormat="false" ht="15" hidden="false" customHeight="false" outlineLevel="0" collapsed="false">
      <c r="B252" s="21" t="s">
        <v>403</v>
      </c>
      <c r="C252" s="50" t="n">
        <v>0</v>
      </c>
      <c r="D252" s="37" t="n">
        <f aca="false">D248-D251</f>
        <v>-0.003</v>
      </c>
      <c r="E252" s="37" t="n">
        <f aca="false">E248-E251</f>
        <v>-0.0127531374965327</v>
      </c>
      <c r="F252" s="37" t="n">
        <f aca="false">F248-F251</f>
        <v>0.0950076478714878</v>
      </c>
      <c r="G252" s="37" t="n">
        <f aca="false">G248-G251</f>
        <v>0.147691133415166</v>
      </c>
      <c r="H252" s="51" t="s">
        <v>254</v>
      </c>
    </row>
    <row r="253" customFormat="false" ht="15" hidden="false" customHeight="false" outlineLevel="0" collapsed="false">
      <c r="B253" s="21" t="s">
        <v>404</v>
      </c>
      <c r="C253" s="50" t="n">
        <f aca="false">Datos_FMI!$E$19+C252</f>
        <v>-11.4</v>
      </c>
      <c r="D253" s="37" t="n">
        <f aca="false">Datos_FMI!$F$19+D252</f>
        <v>-9.203</v>
      </c>
      <c r="E253" s="37" t="n">
        <f aca="false">Datos_FMI!$G$19+E252</f>
        <v>-6.71275313749653</v>
      </c>
      <c r="F253" s="37" t="n">
        <f aca="false">Datos_FMI!$H$19+F252</f>
        <v>-3.90499235212851</v>
      </c>
      <c r="G253" s="37" t="n">
        <f aca="false">Datos_FMI!$I$19+G252</f>
        <v>-3.05230886658483</v>
      </c>
      <c r="H253" s="51" t="s">
        <v>122</v>
      </c>
    </row>
    <row r="254" customFormat="false" ht="15" hidden="false" customHeight="false" outlineLevel="0" collapsed="false">
      <c r="B254" s="21" t="s">
        <v>405</v>
      </c>
      <c r="C254" s="52" t="n">
        <v>0</v>
      </c>
      <c r="D254" s="34" t="n">
        <f aca="false">-D252/100*Datos_FMI!$F$9</f>
        <v>15.19173</v>
      </c>
      <c r="E254" s="34" t="n">
        <f aca="false">-E252/100*Datos_FMI!$G$9</f>
        <v>73.7512666110738</v>
      </c>
      <c r="F254" s="34" t="n">
        <f aca="false">-F252/100*Datos_FMI!$H$9</f>
        <v>-589.399895176827</v>
      </c>
      <c r="G254" s="34" t="n">
        <f aca="false">-G252/100*Datos_FMI!$I$9</f>
        <v>-1001.24840840677</v>
      </c>
      <c r="H254" s="51" t="s">
        <v>119</v>
      </c>
    </row>
    <row r="255" customFormat="false" ht="15" hidden="false" customHeight="false" outlineLevel="0" collapsed="false">
      <c r="B255" s="21" t="s">
        <v>386</v>
      </c>
      <c r="C255" s="52" t="n">
        <v>0</v>
      </c>
      <c r="D255" s="34" t="n">
        <f aca="false">D234*D262</f>
        <v>0</v>
      </c>
      <c r="E255" s="34" t="n">
        <f aca="false">E234*E262</f>
        <v>0</v>
      </c>
      <c r="F255" s="34" t="n">
        <f aca="false">F234*F262</f>
        <v>0</v>
      </c>
      <c r="G255" s="34" t="n">
        <f aca="false">G234*G262</f>
        <v>0</v>
      </c>
      <c r="H255" s="51" t="s">
        <v>119</v>
      </c>
    </row>
    <row r="256" customFormat="false" ht="15" hidden="false" customHeight="false" outlineLevel="0" collapsed="false">
      <c r="B256" s="21" t="s">
        <v>406</v>
      </c>
      <c r="C256" s="52" t="n">
        <v>0</v>
      </c>
      <c r="D256" s="34" t="n">
        <f aca="false">MIN(cap_dom/100*Datos_FMI!$F$9,MAX(0,D254-D255))</f>
        <v>15.19173</v>
      </c>
      <c r="E256" s="34" t="n">
        <f aca="false">MIN(cap_dom/100*Datos_FMI!$G$9,MAX(0,E254-E255))</f>
        <v>73.7512666110738</v>
      </c>
      <c r="F256" s="34" t="n">
        <f aca="false">MIN(cap_dom/100*Datos_FMI!$H$9,MAX(0,F254-F255))</f>
        <v>0</v>
      </c>
      <c r="G256" s="34" t="n">
        <f aca="false">MIN(cap_dom/100*Datos_FMI!$I$9,MAX(0,G254-G255))</f>
        <v>0</v>
      </c>
      <c r="H256" s="51" t="s">
        <v>119</v>
      </c>
    </row>
    <row r="257" customFormat="false" ht="15" hidden="false" customHeight="false" outlineLevel="0" collapsed="false">
      <c r="B257" s="21" t="s">
        <v>407</v>
      </c>
      <c r="C257" s="50" t="n">
        <v>0</v>
      </c>
      <c r="D257" s="37" t="n">
        <f aca="false">D256/Datos_FMI!$F$9*100</f>
        <v>0.003</v>
      </c>
      <c r="E257" s="37" t="n">
        <f aca="false">E256/Datos_FMI!$G$9*100</f>
        <v>0.0127531374965327</v>
      </c>
      <c r="F257" s="37" t="n">
        <f aca="false">F256/Datos_FMI!$H$9*100</f>
        <v>0</v>
      </c>
      <c r="G257" s="37" t="n">
        <f aca="false">G256/Datos_FMI!$I$9*100</f>
        <v>0</v>
      </c>
      <c r="H257" s="51" t="s">
        <v>254</v>
      </c>
    </row>
    <row r="258" customFormat="false" ht="15" hidden="false" customHeight="false" outlineLevel="0" collapsed="false">
      <c r="B258" s="21" t="s">
        <v>408</v>
      </c>
      <c r="C258" s="52" t="n">
        <v>0</v>
      </c>
      <c r="D258" s="34" t="n">
        <f aca="false">MAX(0,D254-D255-D256)</f>
        <v>0</v>
      </c>
      <c r="E258" s="34" t="n">
        <f aca="false">MAX(0,E254-E255-E256)</f>
        <v>0</v>
      </c>
      <c r="F258" s="34" t="n">
        <f aca="false">MAX(0,F254-F255-F256)</f>
        <v>0</v>
      </c>
      <c r="G258" s="34" t="n">
        <f aca="false">MAX(0,G254-G255-G256)</f>
        <v>0</v>
      </c>
      <c r="H258" s="51" t="s">
        <v>119</v>
      </c>
    </row>
    <row r="259" customFormat="false" ht="15" hidden="false" customHeight="false" outlineLevel="0" collapsed="false">
      <c r="B259" s="48" t="s">
        <v>409</v>
      </c>
      <c r="C259" s="49"/>
      <c r="D259" s="49"/>
      <c r="E259" s="49"/>
      <c r="F259" s="49"/>
      <c r="G259" s="49"/>
      <c r="H259" s="49"/>
    </row>
    <row r="260" customFormat="false" ht="15" hidden="false" customHeight="false" outlineLevel="0" collapsed="false">
      <c r="B260" s="21" t="s">
        <v>410</v>
      </c>
      <c r="C260" s="50" t="n">
        <v>0</v>
      </c>
      <c r="D260" s="37" t="n">
        <f aca="false">D233+bm_dep*D231</f>
        <v>-0.5</v>
      </c>
      <c r="E260" s="37" t="n">
        <f aca="false">E233+bm_dep*E231</f>
        <v>-4</v>
      </c>
      <c r="F260" s="37" t="n">
        <f aca="false">F233+bm_dep*F231</f>
        <v>-2</v>
      </c>
      <c r="G260" s="37" t="n">
        <f aca="false">G233+bm_dep*G231</f>
        <v>-1</v>
      </c>
      <c r="H260" s="51" t="s">
        <v>353</v>
      </c>
    </row>
    <row r="261" customFormat="false" ht="15" hidden="false" customHeight="false" outlineLevel="0" collapsed="false">
      <c r="B261" s="21" t="s">
        <v>411</v>
      </c>
      <c r="C261" s="50" t="n">
        <v>0</v>
      </c>
      <c r="D261" s="37" t="n">
        <f aca="false">C261+D260</f>
        <v>-0.5</v>
      </c>
      <c r="E261" s="37" t="n">
        <f aca="false">D261+E260</f>
        <v>-4.5</v>
      </c>
      <c r="F261" s="37" t="n">
        <f aca="false">E261+F260</f>
        <v>-6.5</v>
      </c>
      <c r="G261" s="37" t="n">
        <f aca="false">F261+G260</f>
        <v>-7.5</v>
      </c>
      <c r="H261" s="51" t="s">
        <v>114</v>
      </c>
    </row>
    <row r="262" customFormat="false" ht="15" hidden="false" customHeight="false" outlineLevel="0" collapsed="false">
      <c r="B262" s="21" t="s">
        <v>412</v>
      </c>
      <c r="C262" s="50" t="n">
        <f aca="false">12.8</f>
        <v>12.8</v>
      </c>
      <c r="D262" s="37" t="n">
        <f aca="false">Datos_FMI!$F$42*(1+D261/100)</f>
        <v>9.35761274735831</v>
      </c>
      <c r="E262" s="37" t="n">
        <f aca="false">Datos_FMI!$G$42*(1+E261/100)</f>
        <v>12.5709664775204</v>
      </c>
      <c r="F262" s="37" t="n">
        <f aca="false">Datos_FMI!$H$42*(1+F261/100)</f>
        <v>12.5029013935108</v>
      </c>
      <c r="G262" s="37" t="n">
        <f aca="false">Datos_FMI!$I$42*(1+G261/100)</f>
        <v>12.5507118910256</v>
      </c>
      <c r="H262" s="51" t="s">
        <v>168</v>
      </c>
    </row>
    <row r="263" customFormat="false" ht="15" hidden="false" customHeight="false" outlineLevel="0" collapsed="false">
      <c r="B263" s="21" t="s">
        <v>413</v>
      </c>
      <c r="C263" s="50" t="n">
        <v>0</v>
      </c>
      <c r="D263" s="37" t="n">
        <f aca="false">-phi_sub*(D226-C226)+mu_bm*(D231+D258/Datos_FMI!$F$34*100)+eta*D244+psi*D260+tax_pi*D228</f>
        <v>-0.17875</v>
      </c>
      <c r="E263" s="37" t="n">
        <f aca="false">-phi_sub*(E226-D226)+mu_bm*(E231+E258/Datos_FMI!$G$34*100)+eta*E244+psi*E260+tax_pi*E228</f>
        <v>-1.43010067114094</v>
      </c>
      <c r="F263" s="37" t="n">
        <f aca="false">-phi_sub*(F226-E226)+mu_bm*(F231+F258/Datos_FMI!$H$34*100)+eta*F244+psi*F260+tax_pi*F228</f>
        <v>-0.715427957634112</v>
      </c>
      <c r="G263" s="37" t="n">
        <f aca="false">-phi_sub*(G226-F226)+mu_bm*(G231+G258/Datos_FMI!$I$34*100)+eta*G244+psi*G260+tax_pi*G228</f>
        <v>-0.3575</v>
      </c>
      <c r="H263" s="51" t="s">
        <v>353</v>
      </c>
    </row>
    <row r="264" customFormat="false" ht="15" hidden="false" customHeight="false" outlineLevel="0" collapsed="false">
      <c r="B264" s="21" t="s">
        <v>414</v>
      </c>
      <c r="C264" s="50" t="n">
        <f aca="false">Datos_FMI!$E$7+C263</f>
        <v>19.5</v>
      </c>
      <c r="D264" s="37" t="n">
        <f aca="false">Datos_FMI!$F$7+D263</f>
        <v>12.52125</v>
      </c>
      <c r="E264" s="37" t="n">
        <f aca="false">Datos_FMI!$G$7+E263</f>
        <v>14.3698993288591</v>
      </c>
      <c r="F264" s="37" t="n">
        <f aca="false">Datos_FMI!$H$7+F263</f>
        <v>7.48457204236589</v>
      </c>
      <c r="G264" s="37" t="n">
        <f aca="false">Datos_FMI!$I$7+G263</f>
        <v>6.9425</v>
      </c>
      <c r="H264" s="51" t="s">
        <v>114</v>
      </c>
    </row>
    <row r="265" customFormat="false" ht="15" hidden="false" customHeight="false" outlineLevel="0" collapsed="false">
      <c r="B265" s="21" t="s">
        <v>415</v>
      </c>
      <c r="C265" s="50" t="n">
        <f aca="false">Datos_FMI!$E$8+C263</f>
        <v>20.4</v>
      </c>
      <c r="D265" s="37" t="n">
        <f aca="false">Datos_FMI!$F$8+D263</f>
        <v>14.02125</v>
      </c>
      <c r="E265" s="37" t="n">
        <f aca="false">Datos_FMI!$G$8+E263</f>
        <v>9.26989932885906</v>
      </c>
      <c r="F265" s="37" t="n">
        <f aca="false">Datos_FMI!$H$8+F263</f>
        <v>7.98457204236589</v>
      </c>
      <c r="G265" s="37" t="n">
        <f aca="false">Datos_FMI!$I$8+G263</f>
        <v>5.8425</v>
      </c>
      <c r="H265" s="51" t="s">
        <v>114</v>
      </c>
    </row>
    <row r="266" customFormat="false" ht="15" hidden="false" customHeight="false" outlineLevel="0" collapsed="false">
      <c r="B266" s="21" t="s">
        <v>416</v>
      </c>
      <c r="C266" s="50" t="n">
        <v>0</v>
      </c>
      <c r="D266" s="37" t="n">
        <f aca="false">C266+D263</f>
        <v>-0.17875</v>
      </c>
      <c r="E266" s="37" t="n">
        <f aca="false">D266+E263</f>
        <v>-1.60885067114094</v>
      </c>
      <c r="F266" s="37" t="n">
        <f aca="false">E266+F263</f>
        <v>-2.32427862877505</v>
      </c>
      <c r="G266" s="37" t="n">
        <f aca="false">F266+G263</f>
        <v>-2.68177862877505</v>
      </c>
      <c r="H266" s="51" t="s">
        <v>114</v>
      </c>
    </row>
    <row r="267" customFormat="false" ht="15" hidden="false" customHeight="false" outlineLevel="0" collapsed="false">
      <c r="B267" s="21" t="s">
        <v>417</v>
      </c>
      <c r="C267" s="52" t="n">
        <f aca="false">Datos_FMI!$E$9*(1+C246/100)*(1+C266/100)</f>
        <v>447553</v>
      </c>
      <c r="D267" s="34" t="n">
        <f aca="false">Datos_FMI!$F$9*(1+D246/100)*(1+D266/100)</f>
        <v>505410.003213587</v>
      </c>
      <c r="E267" s="34" t="n">
        <f aca="false">Datos_FMI!$G$9*(1+E246/100)*(1+E266/100)</f>
        <v>568224.598108046</v>
      </c>
      <c r="F267" s="34" t="n">
        <f aca="false">Datos_FMI!$H$9*(1+F246/100)*(1+F266/100)</f>
        <v>604757.430378141</v>
      </c>
      <c r="G267" s="34" t="n">
        <f aca="false">Datos_FMI!$I$9*(1+G246/100)*(1+G266/100)</f>
        <v>658254.915337958</v>
      </c>
      <c r="H267" s="51" t="s">
        <v>119</v>
      </c>
    </row>
    <row r="268" customFormat="false" ht="15" hidden="false" customHeight="false" outlineLevel="0" collapsed="false">
      <c r="B268" s="48" t="s">
        <v>418</v>
      </c>
      <c r="C268" s="49"/>
      <c r="D268" s="49"/>
      <c r="E268" s="49"/>
      <c r="F268" s="49"/>
      <c r="G268" s="49"/>
      <c r="H268" s="49"/>
    </row>
    <row r="269" customFormat="false" ht="15" hidden="false" customHeight="false" outlineLevel="0" collapsed="false">
      <c r="B269" s="21" t="s">
        <v>419</v>
      </c>
      <c r="C269" s="52" t="n">
        <v>0</v>
      </c>
      <c r="D269" s="34" t="n">
        <f aca="false">C269+D254</f>
        <v>15.19173</v>
      </c>
      <c r="E269" s="34" t="n">
        <f aca="false">D269+E254</f>
        <v>88.9429966110738</v>
      </c>
      <c r="F269" s="34" t="n">
        <f aca="false">E269+F254</f>
        <v>-500.456898565754</v>
      </c>
      <c r="G269" s="34" t="n">
        <f aca="false">F269+G254</f>
        <v>-1501.70530697253</v>
      </c>
      <c r="H269" s="51" t="s">
        <v>119</v>
      </c>
    </row>
    <row r="270" customFormat="false" ht="15" hidden="false" customHeight="false" outlineLevel="0" collapsed="false">
      <c r="B270" s="21" t="s">
        <v>420</v>
      </c>
      <c r="C270" s="52" t="n">
        <v>0</v>
      </c>
      <c r="D270" s="34" t="n">
        <f aca="false">D269+Datos_FMI!$F$22*D261/100</f>
        <v>-1007.78827</v>
      </c>
      <c r="E270" s="34" t="n">
        <f aca="false">E269+Datos_FMI!$G$22*E261/100</f>
        <v>-10245.6670033889</v>
      </c>
      <c r="F270" s="34" t="n">
        <f aca="false">F269+Datos_FMI!$H$22*F261/100</f>
        <v>-16029.6068985658</v>
      </c>
      <c r="G270" s="34" t="n">
        <f aca="false">G269+Datos_FMI!$I$22*G261/100</f>
        <v>-20213.3053069725</v>
      </c>
      <c r="H270" s="51" t="s">
        <v>119</v>
      </c>
    </row>
    <row r="271" customFormat="false" ht="15" hidden="false" customHeight="false" outlineLevel="0" collapsed="false">
      <c r="B271" s="21" t="s">
        <v>421</v>
      </c>
      <c r="C271" s="50" t="n">
        <f aca="false">(Datos_FMI!$E$21+C270)/C267*100</f>
        <v>83.3168362182803</v>
      </c>
      <c r="D271" s="37" t="n">
        <f aca="false">(Datos_FMI!$F$21+D270)/D267*100</f>
        <v>100.473320373796</v>
      </c>
      <c r="E271" s="37" t="n">
        <f aca="false">(Datos_FMI!$G$21+E270)/E267*100</f>
        <v>95.2488390679803</v>
      </c>
      <c r="F271" s="37" t="n">
        <f aca="false">(Datos_FMI!$H$21+F270)/F267*100</f>
        <v>92.940799875743</v>
      </c>
      <c r="G271" s="37" t="n">
        <f aca="false">(Datos_FMI!$I$21+G270)/G267*100</f>
        <v>88.7994424459288</v>
      </c>
      <c r="H271" s="51" t="s">
        <v>122</v>
      </c>
    </row>
    <row r="272" customFormat="false" ht="15" hidden="false" customHeight="false" outlineLevel="0" collapsed="false">
      <c r="B272" s="48" t="s">
        <v>422</v>
      </c>
      <c r="C272" s="49"/>
      <c r="D272" s="49"/>
      <c r="E272" s="49"/>
      <c r="F272" s="49"/>
      <c r="G272" s="49"/>
      <c r="H272" s="49"/>
    </row>
    <row r="273" customFormat="false" ht="15" hidden="false" customHeight="false" outlineLevel="0" collapsed="false">
      <c r="B273" s="21" t="s">
        <v>423</v>
      </c>
      <c r="C273" s="52" t="n">
        <v>0</v>
      </c>
      <c r="D273" s="34" t="n">
        <f aca="false">D234-D235-imp_el*D244/100*Datos_FMI!$F$24-sub_leak*D226/100*Datos_FMI!$F$41-bm_flight*D231-monet_leak*D258/D262</f>
        <v>-147.1893</v>
      </c>
      <c r="E273" s="34" t="n">
        <f aca="false">E234-E235-imp_el*E244/100*Datos_FMI!$G$24-sub_leak*E226/100*Datos_FMI!$G$41-bm_flight*E231-monet_leak*E258/E262</f>
        <v>-477.624967114094</v>
      </c>
      <c r="F273" s="34" t="n">
        <f aca="false">F234-F235-imp_el*F244/100*Datos_FMI!$H$24-sub_leak*F226/100*Datos_FMI!$H$41-bm_flight*F231-monet_leak*F258/F262</f>
        <v>-287.760692649706</v>
      </c>
      <c r="G273" s="34" t="n">
        <f aca="false">G234-G235-imp_el*G244/100*Datos_FMI!$I$24-sub_leak*G226/100*Datos_FMI!$I$41-bm_flight*G231-monet_leak*G258/G262</f>
        <v>-193.682</v>
      </c>
      <c r="H273" s="51" t="s">
        <v>140</v>
      </c>
    </row>
    <row r="274" customFormat="false" ht="15" hidden="false" customHeight="false" outlineLevel="0" collapsed="false">
      <c r="B274" s="21" t="s">
        <v>424</v>
      </c>
      <c r="C274" s="52" t="n">
        <v>0</v>
      </c>
      <c r="D274" s="34" t="n">
        <f aca="false">C274+D273</f>
        <v>-147.1893</v>
      </c>
      <c r="E274" s="34" t="n">
        <f aca="false">D274+E273</f>
        <v>-624.814267114094</v>
      </c>
      <c r="F274" s="34" t="n">
        <f aca="false">E274+F273</f>
        <v>-912.574959763801</v>
      </c>
      <c r="G274" s="34" t="n">
        <f aca="false">F274+G273</f>
        <v>-1106.2569597638</v>
      </c>
      <c r="H274" s="51" t="s">
        <v>140</v>
      </c>
    </row>
    <row r="275" customFormat="false" ht="15" hidden="false" customHeight="false" outlineLevel="0" collapsed="false">
      <c r="B275" s="21" t="s">
        <v>425</v>
      </c>
      <c r="C275" s="52" t="n">
        <f aca="false">Datos_FMI!$E$31+C274</f>
        <v>-2990</v>
      </c>
      <c r="D275" s="34" t="n">
        <f aca="false">Datos_FMI!$F$31+D274</f>
        <v>-728.1893</v>
      </c>
      <c r="E275" s="34" t="n">
        <f aca="false">Datos_FMI!$G$31+E274</f>
        <v>119.185732885906</v>
      </c>
      <c r="F275" s="34" t="n">
        <f aca="false">Datos_FMI!$H$31+F274</f>
        <v>391.4250402362</v>
      </c>
      <c r="G275" s="34" t="n">
        <f aca="false">Datos_FMI!$I$31+G274</f>
        <v>771.7430402362</v>
      </c>
      <c r="H275" s="51" t="s">
        <v>140</v>
      </c>
    </row>
    <row r="276" customFormat="false" ht="15" hidden="false" customHeight="false" outlineLevel="0" collapsed="false">
      <c r="B276" s="21" t="s">
        <v>426</v>
      </c>
      <c r="C276" s="52" t="n">
        <f aca="false">Datos_FMI!$E$28+C274</f>
        <v>627</v>
      </c>
      <c r="D276" s="34" t="n">
        <f aca="false">Datos_FMI!$F$28+D274</f>
        <v>2310.8107</v>
      </c>
      <c r="E276" s="34" t="n">
        <f aca="false">Datos_FMI!$G$28+E274</f>
        <v>3357.18573288591</v>
      </c>
      <c r="F276" s="34" t="n">
        <f aca="false">Datos_FMI!$H$28+F274</f>
        <v>3777.4250402362</v>
      </c>
      <c r="G276" s="34" t="n">
        <f aca="false">Datos_FMI!$I$28+G274</f>
        <v>4420.7430402362</v>
      </c>
      <c r="H276" s="51" t="s">
        <v>140</v>
      </c>
    </row>
    <row r="277" customFormat="false" ht="15" hidden="false" customHeight="false" outlineLevel="0" collapsed="false">
      <c r="B277" s="21" t="s">
        <v>427</v>
      </c>
      <c r="C277" s="50" t="n">
        <f aca="false">Datos_FMI!$E$29*C276/Datos_FMI!$E$28</f>
        <v>10.9</v>
      </c>
      <c r="D277" s="37" t="n">
        <f aca="false">Datos_FMI!$F$29*D276/Datos_FMI!$F$28</f>
        <v>50.2023154515867</v>
      </c>
      <c r="E277" s="37" t="n">
        <f aca="false">Datos_FMI!$G$29*E276/Datos_FMI!$G$28</f>
        <v>72.5900782525054</v>
      </c>
      <c r="F277" s="37" t="n">
        <f aca="false">Datos_FMI!$H$29*F276/Datos_FMI!$H$28</f>
        <v>80.6226538438472</v>
      </c>
      <c r="G277" s="37" t="n">
        <f aca="false">Datos_FMI!$I$29*G276/Datos_FMI!$I$28</f>
        <v>89.8225879172291</v>
      </c>
      <c r="H277" s="51" t="s">
        <v>114</v>
      </c>
    </row>
    <row r="278" customFormat="false" ht="15" hidden="false" customHeight="false" outlineLevel="0" collapsed="false">
      <c r="B278" s="48" t="s">
        <v>428</v>
      </c>
      <c r="C278" s="49"/>
      <c r="D278" s="49"/>
      <c r="E278" s="49"/>
      <c r="F278" s="49"/>
      <c r="G278" s="49"/>
      <c r="H278" s="49"/>
    </row>
    <row r="279" customFormat="false" ht="15" hidden="false" customHeight="false" outlineLevel="0" collapsed="false">
      <c r="B279" s="21" t="s">
        <v>429</v>
      </c>
      <c r="C279" s="50" t="n">
        <f aca="false">Datos_FMI!$E$32+C241</f>
        <v>3.1</v>
      </c>
      <c r="D279" s="37" t="n">
        <f aca="false">Datos_FMI!$F$32+D241</f>
        <v>4</v>
      </c>
      <c r="E279" s="37" t="n">
        <f aca="false">Datos_FMI!$G$32+E241</f>
        <v>7.29664429530201</v>
      </c>
      <c r="F279" s="37" t="n">
        <f aca="false">Datos_FMI!$H$32+F241</f>
        <v>7.28573474552961</v>
      </c>
      <c r="G279" s="37" t="n">
        <f aca="false">Datos_FMI!$I$32+G241</f>
        <v>9.5</v>
      </c>
      <c r="H279" s="51" t="s">
        <v>114</v>
      </c>
    </row>
    <row r="280" customFormat="false" ht="15" hidden="false" customHeight="false" outlineLevel="0" collapsed="false">
      <c r="B280" s="21" t="s">
        <v>430</v>
      </c>
      <c r="C280" s="50" t="n">
        <v>0</v>
      </c>
      <c r="D280" s="37" t="n">
        <f aca="false">C280+D231</f>
        <v>0</v>
      </c>
      <c r="E280" s="37" t="n">
        <f aca="false">D280+E231</f>
        <v>0</v>
      </c>
      <c r="F280" s="37" t="n">
        <f aca="false">E280+F231</f>
        <v>0</v>
      </c>
      <c r="G280" s="37" t="n">
        <f aca="false">F280+G231</f>
        <v>0</v>
      </c>
      <c r="H280" s="51" t="s">
        <v>114</v>
      </c>
    </row>
    <row r="281" customFormat="false" ht="15" hidden="false" customHeight="false" outlineLevel="0" collapsed="false">
      <c r="B281" s="21" t="s">
        <v>431</v>
      </c>
      <c r="C281" s="52" t="n">
        <v>0</v>
      </c>
      <c r="D281" s="34" t="n">
        <f aca="false">C281+D258</f>
        <v>0</v>
      </c>
      <c r="E281" s="34" t="n">
        <f aca="false">D281+E258</f>
        <v>0</v>
      </c>
      <c r="F281" s="34" t="n">
        <f aca="false">E281+F258</f>
        <v>0</v>
      </c>
      <c r="G281" s="34" t="n">
        <f aca="false">F281+G258</f>
        <v>0</v>
      </c>
      <c r="H281" s="51" t="s">
        <v>119</v>
      </c>
    </row>
    <row r="282" customFormat="false" ht="15" hidden="false" customHeight="false" outlineLevel="0" collapsed="false">
      <c r="B282" s="21" t="s">
        <v>432</v>
      </c>
      <c r="C282" s="52" t="n">
        <f aca="false">Datos_FMI!$E$34</f>
        <v>132269</v>
      </c>
      <c r="D282" s="34" t="n">
        <f aca="false">meta_bm*(1+D280/100)+D281</f>
        <v>133900</v>
      </c>
      <c r="E282" s="34" t="n">
        <f aca="false">Datos_FMI!$G$34*(1+E280/100)+E281</f>
        <v>148333</v>
      </c>
      <c r="F282" s="34" t="n">
        <f aca="false">Datos_FMI!$H$34*(1+F280/100)+F281</f>
        <v>161304</v>
      </c>
      <c r="G282" s="34" t="n">
        <f aca="false">Datos_FMI!$I$34*(1+G280/100)+G281</f>
        <v>177013</v>
      </c>
      <c r="H282" s="51" t="s">
        <v>119</v>
      </c>
    </row>
    <row r="283" customFormat="false" ht="15" hidden="false" customHeight="false" outlineLevel="0" collapsed="false">
      <c r="B283" s="48" t="s">
        <v>433</v>
      </c>
      <c r="C283" s="49"/>
      <c r="D283" s="49"/>
      <c r="E283" s="49"/>
      <c r="F283" s="49"/>
      <c r="G283" s="49"/>
      <c r="H283" s="49"/>
    </row>
    <row r="284" customFormat="false" ht="15" hidden="false" customHeight="false" outlineLevel="0" collapsed="false">
      <c r="B284" s="21" t="s">
        <v>434</v>
      </c>
      <c r="C284" s="52" t="n">
        <f aca="false">Datos_FMI!$E$14+C227/100*Datos_FMI!$E$9</f>
        <v>5525</v>
      </c>
      <c r="D284" s="34" t="n">
        <f aca="false">Datos_FMI!$F$14+D227/100*Datos_FMI!$F$9</f>
        <v>10890</v>
      </c>
      <c r="E284" s="34" t="n">
        <f aca="false">Datos_FMI!$G$14+E227/100*Datos_FMI!$G$9</f>
        <v>12722.578</v>
      </c>
      <c r="F284" s="34" t="n">
        <f aca="false">Datos_FMI!$H$14+F227/100*Datos_FMI!$H$9</f>
        <v>8064.823</v>
      </c>
      <c r="G284" s="34" t="n">
        <f aca="false">Datos_FMI!$I$14+G227/100*Datos_FMI!$I$9</f>
        <v>8813.142</v>
      </c>
      <c r="H284" s="51" t="s">
        <v>119</v>
      </c>
    </row>
    <row r="285" customFormat="false" ht="15" hidden="false" customHeight="false" outlineLevel="0" collapsed="false">
      <c r="B285" s="21" t="s">
        <v>435</v>
      </c>
      <c r="C285" s="52" t="n">
        <v>0</v>
      </c>
      <c r="D285" s="34" t="n">
        <f aca="false">emp_el*D246/100*pea</f>
        <v>-0.48</v>
      </c>
      <c r="E285" s="34" t="n">
        <f aca="false">emp_el*E246/100*pea</f>
        <v>-4.33288590604027</v>
      </c>
      <c r="F285" s="34" t="n">
        <f aca="false">emp_el*F246/100*pea</f>
        <v>-6.30766448320658</v>
      </c>
      <c r="G285" s="34" t="n">
        <f aca="false">emp_el*G246/100*pea</f>
        <v>-7.26766448320658</v>
      </c>
      <c r="H285" s="51" t="s">
        <v>315</v>
      </c>
    </row>
    <row r="286" customFormat="false" ht="15" hidden="false" customHeight="false" outlineLevel="0" collapsed="false">
      <c r="B286" s="21" t="s">
        <v>436</v>
      </c>
      <c r="C286" s="50" t="n">
        <v>0</v>
      </c>
      <c r="D286" s="37" t="n">
        <f aca="false">-pov_g*D246-pov_soc*D227+pov_pi*D263-pov_sub*D226</f>
        <v>-0.0163125</v>
      </c>
      <c r="E286" s="37" t="n">
        <f aca="false">-pov_g*E246-pov_soc*E227+pov_pi*E263-pov_sub*E226</f>
        <v>-0.11973322147651</v>
      </c>
      <c r="F286" s="37" t="n">
        <f aca="false">-pov_g*F246-pov_soc*F227+pov_pi*F263-pov_sub*F226</f>
        <v>0.0306659669250272</v>
      </c>
      <c r="G286" s="37" t="n">
        <f aca="false">-pov_g*G246-pov_soc*G227+pov_pi*G263-pov_sub*G226</f>
        <v>0.105355160570144</v>
      </c>
      <c r="H286" s="51" t="s">
        <v>353</v>
      </c>
    </row>
    <row r="287" customFormat="false" ht="15" hidden="false" customHeight="false" outlineLevel="0" collapsed="false">
      <c r="B287" s="21" t="s">
        <v>437</v>
      </c>
      <c r="C287" s="50" t="n">
        <v>0</v>
      </c>
      <c r="D287" s="37" t="n">
        <f aca="false">-gini_tpr*D229-gini_soc*D227</f>
        <v>-0</v>
      </c>
      <c r="E287" s="37" t="n">
        <f aca="false">-gini_tpr*E229-gini_soc*E227</f>
        <v>-0</v>
      </c>
      <c r="F287" s="37" t="n">
        <f aca="false">-gini_tpr*F229-gini_soc*F227</f>
        <v>-0</v>
      </c>
      <c r="G287" s="37" t="n">
        <f aca="false">-gini_tpr*G229-gini_soc*G227</f>
        <v>-0</v>
      </c>
      <c r="H287" s="51" t="s">
        <v>438</v>
      </c>
    </row>
    <row r="293" customFormat="false" ht="15" hidden="false" customHeight="false" outlineLevel="0" collapsed="false">
      <c r="B293" s="46" t="s">
        <v>366</v>
      </c>
      <c r="C293" s="47"/>
      <c r="D293" s="47"/>
      <c r="E293" s="47"/>
      <c r="F293" s="47"/>
      <c r="G293" s="47"/>
      <c r="H293" s="47"/>
    </row>
    <row r="294" customFormat="false" ht="15" hidden="false" customHeight="false" outlineLevel="0" collapsed="false">
      <c r="B294" s="11" t="s">
        <v>374</v>
      </c>
      <c r="C294" s="11" t="s">
        <v>109</v>
      </c>
      <c r="D294" s="11" t="s">
        <v>99</v>
      </c>
      <c r="E294" s="11" t="s">
        <v>100</v>
      </c>
      <c r="F294" s="11" t="s">
        <v>101</v>
      </c>
      <c r="G294" s="11" t="s">
        <v>102</v>
      </c>
      <c r="H294" s="11" t="s">
        <v>107</v>
      </c>
    </row>
    <row r="295" customFormat="false" ht="15" hidden="false" customHeight="false" outlineLevel="0" collapsed="false">
      <c r="B295" s="48" t="s">
        <v>375</v>
      </c>
      <c r="C295" s="49"/>
      <c r="D295" s="49"/>
      <c r="E295" s="49"/>
      <c r="F295" s="49"/>
      <c r="G295" s="49"/>
      <c r="H295" s="49"/>
    </row>
    <row r="296" customFormat="false" ht="15" hidden="false" customHeight="false" outlineLevel="0" collapsed="false">
      <c r="B296" s="21" t="s">
        <v>376</v>
      </c>
      <c r="C296" s="50" t="n">
        <v>0</v>
      </c>
      <c r="D296" s="16" t="n">
        <f aca="false">Palancas!D80*ef26</f>
        <v>0</v>
      </c>
      <c r="E296" s="16" t="n">
        <f aca="false">Palancas!E80*1</f>
        <v>0</v>
      </c>
      <c r="F296" s="16" t="n">
        <f aca="false">Palancas!F80*1</f>
        <v>0</v>
      </c>
      <c r="G296" s="16" t="n">
        <f aca="false">Palancas!G80*1</f>
        <v>0</v>
      </c>
      <c r="H296" s="51" t="s">
        <v>254</v>
      </c>
    </row>
    <row r="297" customFormat="false" ht="15" hidden="false" customHeight="false" outlineLevel="0" collapsed="false">
      <c r="B297" s="21" t="s">
        <v>377</v>
      </c>
      <c r="C297" s="50" t="n">
        <v>0</v>
      </c>
      <c r="D297" s="16" t="n">
        <f aca="false">Palancas!D81*ef26</f>
        <v>0</v>
      </c>
      <c r="E297" s="16" t="n">
        <f aca="false">Palancas!E81*1</f>
        <v>0</v>
      </c>
      <c r="F297" s="16" t="n">
        <f aca="false">Palancas!F81*1</f>
        <v>0</v>
      </c>
      <c r="G297" s="16" t="n">
        <f aca="false">Palancas!G81*1</f>
        <v>0</v>
      </c>
      <c r="H297" s="51" t="s">
        <v>254</v>
      </c>
    </row>
    <row r="298" customFormat="false" ht="15" hidden="false" customHeight="false" outlineLevel="0" collapsed="false">
      <c r="B298" s="21" t="s">
        <v>378</v>
      </c>
      <c r="C298" s="50" t="n">
        <v>0</v>
      </c>
      <c r="D298" s="16" t="n">
        <f aca="false">Palancas!D82*ef26</f>
        <v>0</v>
      </c>
      <c r="E298" s="16" t="n">
        <f aca="false">Palancas!E82*1</f>
        <v>0</v>
      </c>
      <c r="F298" s="16" t="n">
        <f aca="false">Palancas!F82*1</f>
        <v>0</v>
      </c>
      <c r="G298" s="16" t="n">
        <f aca="false">Palancas!G82*1</f>
        <v>0</v>
      </c>
      <c r="H298" s="51" t="s">
        <v>254</v>
      </c>
    </row>
    <row r="299" customFormat="false" ht="15" hidden="false" customHeight="false" outlineLevel="0" collapsed="false">
      <c r="B299" s="21" t="s">
        <v>379</v>
      </c>
      <c r="C299" s="50" t="n">
        <v>0</v>
      </c>
      <c r="D299" s="16" t="n">
        <f aca="false">Palancas!D83*ef26</f>
        <v>0</v>
      </c>
      <c r="E299" s="16" t="n">
        <f aca="false">Palancas!E83*1</f>
        <v>0</v>
      </c>
      <c r="F299" s="16" t="n">
        <f aca="false">Palancas!F83*1</f>
        <v>0</v>
      </c>
      <c r="G299" s="16" t="n">
        <f aca="false">Palancas!G83*1</f>
        <v>0</v>
      </c>
      <c r="H299" s="51" t="s">
        <v>254</v>
      </c>
    </row>
    <row r="300" customFormat="false" ht="15" hidden="false" customHeight="false" outlineLevel="0" collapsed="false">
      <c r="B300" s="21" t="s">
        <v>380</v>
      </c>
      <c r="C300" s="50" t="n">
        <v>0</v>
      </c>
      <c r="D300" s="16" t="n">
        <f aca="false">Palancas!D84*ef26*r_tev</f>
        <v>0.035</v>
      </c>
      <c r="E300" s="16" t="n">
        <f aca="false">Palancas!E84*1*r_tev</f>
        <v>0.35</v>
      </c>
      <c r="F300" s="16" t="n">
        <f aca="false">Palancas!F84*1*r_tev</f>
        <v>0.56</v>
      </c>
      <c r="G300" s="16" t="n">
        <f aca="false">Palancas!G84*1*r_tev</f>
        <v>0.7</v>
      </c>
      <c r="H300" s="51" t="s">
        <v>254</v>
      </c>
    </row>
    <row r="301" customFormat="false" ht="15" hidden="false" customHeight="false" outlineLevel="0" collapsed="false">
      <c r="B301" s="21" t="s">
        <v>381</v>
      </c>
      <c r="C301" s="50" t="n">
        <v>0</v>
      </c>
      <c r="D301" s="16" t="n">
        <f aca="false">Palancas!D85*ef26*r_tpr</f>
        <v>0</v>
      </c>
      <c r="E301" s="16" t="n">
        <f aca="false">Palancas!E85*1*r_tpr</f>
        <v>0.18</v>
      </c>
      <c r="F301" s="16" t="n">
        <f aca="false">Palancas!F85*1*r_tpr</f>
        <v>0.3</v>
      </c>
      <c r="G301" s="16" t="n">
        <f aca="false">Palancas!G85*1*r_tpr</f>
        <v>0.36</v>
      </c>
      <c r="H301" s="51" t="s">
        <v>254</v>
      </c>
    </row>
    <row r="302" customFormat="false" ht="15" hidden="false" customHeight="false" outlineLevel="0" collapsed="false">
      <c r="B302" s="21" t="s">
        <v>382</v>
      </c>
      <c r="C302" s="50" t="n">
        <v>0</v>
      </c>
      <c r="D302" s="16" t="n">
        <f aca="false">Palancas!D86*ef26*r_tex</f>
        <v>0</v>
      </c>
      <c r="E302" s="16" t="n">
        <f aca="false">Palancas!E86*1*r_tex</f>
        <v>0.34</v>
      </c>
      <c r="F302" s="16" t="n">
        <f aca="false">Palancas!F86*1*r_tex</f>
        <v>0.425</v>
      </c>
      <c r="G302" s="16" t="n">
        <f aca="false">Palancas!G86*1*r_tex</f>
        <v>0.425</v>
      </c>
      <c r="H302" s="51" t="s">
        <v>254</v>
      </c>
    </row>
    <row r="303" customFormat="false" ht="15" hidden="false" customHeight="false" outlineLevel="0" collapsed="false">
      <c r="B303" s="21" t="s">
        <v>383</v>
      </c>
      <c r="C303" s="50" t="n">
        <v>0</v>
      </c>
      <c r="D303" s="16" t="n">
        <f aca="false">Palancas!D87*ef26</f>
        <v>0</v>
      </c>
      <c r="E303" s="16" t="n">
        <f aca="false">Palancas!E87*1</f>
        <v>0</v>
      </c>
      <c r="F303" s="16" t="n">
        <f aca="false">Palancas!F87*1</f>
        <v>0</v>
      </c>
      <c r="G303" s="16" t="n">
        <f aca="false">Palancas!G87*1</f>
        <v>0</v>
      </c>
      <c r="H303" s="51" t="s">
        <v>353</v>
      </c>
    </row>
    <row r="304" customFormat="false" ht="15" hidden="false" customHeight="false" outlineLevel="0" collapsed="false">
      <c r="B304" s="21" t="s">
        <v>384</v>
      </c>
      <c r="C304" s="50" t="n">
        <v>0</v>
      </c>
      <c r="D304" s="16" t="n">
        <f aca="false">Palancas!D88*ef26</f>
        <v>0</v>
      </c>
      <c r="E304" s="16" t="n">
        <f aca="false">Palancas!E88*1</f>
        <v>0</v>
      </c>
      <c r="F304" s="16" t="n">
        <f aca="false">Palancas!F88*1</f>
        <v>0</v>
      </c>
      <c r="G304" s="16" t="n">
        <f aca="false">Palancas!G88*1</f>
        <v>0</v>
      </c>
      <c r="H304" s="51" t="s">
        <v>353</v>
      </c>
    </row>
    <row r="305" customFormat="false" ht="15" hidden="false" customHeight="false" outlineLevel="0" collapsed="false">
      <c r="B305" s="21" t="s">
        <v>385</v>
      </c>
      <c r="C305" s="50" t="n">
        <v>0</v>
      </c>
      <c r="D305" s="16" t="n">
        <f aca="false">Palancas!D89*ef26</f>
        <v>0</v>
      </c>
      <c r="E305" s="16" t="n">
        <f aca="false">Palancas!E89*1</f>
        <v>0</v>
      </c>
      <c r="F305" s="16" t="n">
        <f aca="false">Palancas!F89*1</f>
        <v>0</v>
      </c>
      <c r="G305" s="16" t="n">
        <f aca="false">Palancas!G89*1</f>
        <v>0</v>
      </c>
      <c r="H305" s="51" t="s">
        <v>353</v>
      </c>
    </row>
    <row r="306" customFormat="false" ht="15" hidden="false" customHeight="false" outlineLevel="0" collapsed="false">
      <c r="B306" s="21" t="s">
        <v>386</v>
      </c>
      <c r="C306" s="52" t="n">
        <v>0</v>
      </c>
      <c r="D306" s="14" t="n">
        <f aca="false">Palancas!D90</f>
        <v>0</v>
      </c>
      <c r="E306" s="14" t="n">
        <f aca="false">Palancas!E90</f>
        <v>0</v>
      </c>
      <c r="F306" s="14" t="n">
        <f aca="false">Palancas!F90</f>
        <v>0</v>
      </c>
      <c r="G306" s="14" t="n">
        <f aca="false">Palancas!G90</f>
        <v>0</v>
      </c>
      <c r="H306" s="51" t="s">
        <v>140</v>
      </c>
    </row>
    <row r="307" customFormat="false" ht="15" hidden="false" customHeight="false" outlineLevel="0" collapsed="false">
      <c r="B307" s="21" t="s">
        <v>387</v>
      </c>
      <c r="C307" s="52" t="n">
        <v>0</v>
      </c>
      <c r="D307" s="14" t="n">
        <f aca="false">Palancas!D91</f>
        <v>0</v>
      </c>
      <c r="E307" s="14" t="n">
        <f aca="false">Palancas!E91</f>
        <v>0</v>
      </c>
      <c r="F307" s="14" t="n">
        <f aca="false">Palancas!F91</f>
        <v>0</v>
      </c>
      <c r="G307" s="14" t="n">
        <f aca="false">Palancas!G91</f>
        <v>0</v>
      </c>
      <c r="H307" s="51" t="s">
        <v>140</v>
      </c>
    </row>
    <row r="308" customFormat="false" ht="15" hidden="false" customHeight="false" outlineLevel="0" collapsed="false">
      <c r="B308" s="48" t="s">
        <v>388</v>
      </c>
      <c r="C308" s="49"/>
      <c r="D308" s="49"/>
      <c r="E308" s="49"/>
      <c r="F308" s="49"/>
      <c r="G308" s="49"/>
      <c r="H308" s="49"/>
    </row>
    <row r="309" customFormat="false" ht="15" hidden="false" customHeight="false" outlineLevel="0" collapsed="false">
      <c r="B309" s="21" t="s">
        <v>389</v>
      </c>
      <c r="C309" s="50" t="n">
        <f aca="false">C296+C297+C298+C299</f>
        <v>0</v>
      </c>
      <c r="D309" s="37" t="n">
        <f aca="false">D296+D297+D298+D299</f>
        <v>0</v>
      </c>
      <c r="E309" s="37" t="n">
        <f aca="false">E296+E297+E298+E299</f>
        <v>0</v>
      </c>
      <c r="F309" s="37" t="n">
        <f aca="false">F296+F297+F298+F299</f>
        <v>0</v>
      </c>
      <c r="G309" s="37" t="n">
        <f aca="false">G296+G297+G298+G299</f>
        <v>0</v>
      </c>
      <c r="H309" s="51" t="s">
        <v>254</v>
      </c>
    </row>
    <row r="310" customFormat="false" ht="15" hidden="false" customHeight="false" outlineLevel="0" collapsed="false">
      <c r="B310" s="21" t="s">
        <v>390</v>
      </c>
      <c r="C310" s="50" t="n">
        <f aca="false">C300+C301+C302</f>
        <v>0</v>
      </c>
      <c r="D310" s="37" t="n">
        <f aca="false">D300+D301+D302</f>
        <v>0.035</v>
      </c>
      <c r="E310" s="37" t="n">
        <f aca="false">E300+E301+E302</f>
        <v>0.87</v>
      </c>
      <c r="F310" s="37" t="n">
        <f aca="false">F300+F301+F302</f>
        <v>1.285</v>
      </c>
      <c r="G310" s="37" t="n">
        <f aca="false">G300+G301+G302</f>
        <v>1.485</v>
      </c>
      <c r="H310" s="51" t="s">
        <v>254</v>
      </c>
    </row>
    <row r="311" customFormat="false" ht="15" hidden="false" customHeight="false" outlineLevel="0" collapsed="false">
      <c r="B311" s="21" t="s">
        <v>391</v>
      </c>
      <c r="C311" s="50" t="n">
        <f aca="false">C310-C309</f>
        <v>0</v>
      </c>
      <c r="D311" s="37" t="n">
        <f aca="false">D310-D309</f>
        <v>0.035</v>
      </c>
      <c r="E311" s="37" t="n">
        <f aca="false">E310-E309</f>
        <v>0.87</v>
      </c>
      <c r="F311" s="37" t="n">
        <f aca="false">F310-F309</f>
        <v>1.285</v>
      </c>
      <c r="G311" s="37" t="n">
        <f aca="false">G310-G309</f>
        <v>1.485</v>
      </c>
      <c r="H311" s="51" t="s">
        <v>254</v>
      </c>
    </row>
    <row r="312" customFormat="false" ht="15" hidden="false" customHeight="false" outlineLevel="0" collapsed="false">
      <c r="B312" s="48" t="s">
        <v>392</v>
      </c>
      <c r="C312" s="49"/>
      <c r="D312" s="49"/>
      <c r="E312" s="49"/>
      <c r="F312" s="49"/>
      <c r="G312" s="49"/>
      <c r="H312" s="49"/>
    </row>
    <row r="313" customFormat="false" ht="15" hidden="false" customHeight="false" outlineLevel="0" collapsed="false">
      <c r="B313" s="21" t="s">
        <v>393</v>
      </c>
      <c r="C313" s="50" t="n">
        <v>0</v>
      </c>
      <c r="D313" s="37" t="n">
        <f aca="false">D304+bm_cred*D303-crowd*C329/(Datos_FMI!$F$33/100)</f>
        <v>0</v>
      </c>
      <c r="E313" s="37" t="n">
        <f aca="false">E304+bm_cred*E303-crowd*D329/(Datos_FMI!$G$33/100)</f>
        <v>0</v>
      </c>
      <c r="F313" s="37" t="n">
        <f aca="false">F304+bm_cred*F303-crowd*E329/(Datos_FMI!$H$33/100)</f>
        <v>0</v>
      </c>
      <c r="G313" s="37" t="n">
        <f aca="false">G304+bm_cred*G303-crowd*F329/(Datos_FMI!$I$33/100)</f>
        <v>0</v>
      </c>
      <c r="H313" s="51" t="s">
        <v>353</v>
      </c>
    </row>
    <row r="314" customFormat="false" ht="15" hidden="false" customHeight="false" outlineLevel="0" collapsed="false">
      <c r="B314" s="21" t="s">
        <v>394</v>
      </c>
      <c r="C314" s="50" t="n">
        <v>0</v>
      </c>
      <c r="D314" s="37" t="n">
        <f aca="false">C314+D296</f>
        <v>0</v>
      </c>
      <c r="E314" s="37" t="n">
        <f aca="false">D314+E296</f>
        <v>0</v>
      </c>
      <c r="F314" s="37" t="n">
        <f aca="false">E314+F296</f>
        <v>0</v>
      </c>
      <c r="G314" s="37" t="n">
        <f aca="false">F314+G296</f>
        <v>0</v>
      </c>
      <c r="H314" s="51" t="s">
        <v>254</v>
      </c>
    </row>
    <row r="315" customFormat="false" ht="15" hidden="false" customHeight="false" outlineLevel="0" collapsed="false">
      <c r="B315" s="21" t="s">
        <v>395</v>
      </c>
      <c r="C315" s="50" t="n">
        <v>0</v>
      </c>
      <c r="D315" s="37" t="n">
        <f aca="false">kappa*MAX(0,-D311-tol)</f>
        <v>0</v>
      </c>
      <c r="E315" s="37" t="n">
        <f aca="false">kappa*MAX(0,-E311-tol)</f>
        <v>0</v>
      </c>
      <c r="F315" s="37" t="n">
        <f aca="false">kappa*MAX(0,-F311-tol)</f>
        <v>0</v>
      </c>
      <c r="G315" s="37" t="n">
        <f aca="false">kappa*MAX(0,-G311-tol)</f>
        <v>0</v>
      </c>
      <c r="H315" s="51" t="s">
        <v>353</v>
      </c>
    </row>
    <row r="316" customFormat="false" ht="15" hidden="false" customHeight="false" outlineLevel="0" collapsed="false">
      <c r="B316" s="21" t="s">
        <v>396</v>
      </c>
      <c r="C316" s="50" t="n">
        <v>0</v>
      </c>
      <c r="D316" s="37" t="n">
        <f aca="false">m_inv*D296+m_cur*D297+m_sub*D298+m_soc*D299-(m_tev*D300+m_tpr*D301+m_tex*D302)+eps_cred*D313+s_inv*C314+nu_dep*D305-D315</f>
        <v>-0.0035</v>
      </c>
      <c r="E316" s="37" t="n">
        <f aca="false">m_inv*E296+m_cur*E297+m_sub*E298+m_soc*E299-(m_tev*E300+m_tpr*E301+m_tex*E302)+eps_cred*E313+s_inv*D314+nu_dep*E305-E315</f>
        <v>-0.164</v>
      </c>
      <c r="F316" s="37" t="n">
        <f aca="false">m_inv*F296+m_cur*F297+m_sub*F298+m_soc*F299-(m_tev*F300+m_tpr*F301+m_tex*F302)+eps_cred*F313+s_inv*E314+nu_dep*F305-F315</f>
        <v>-0.2285</v>
      </c>
      <c r="G316" s="37" t="n">
        <f aca="false">m_inv*G296+m_cur*G297+m_sub*G298+m_soc*G299-(m_tev*G300+m_tpr*G301+m_tex*G302)+eps_cred*G313+s_inv*F314+nu_dep*G305-G315</f>
        <v>-0.2515</v>
      </c>
      <c r="H316" s="51" t="s">
        <v>353</v>
      </c>
    </row>
    <row r="317" customFormat="false" ht="15" hidden="false" customHeight="false" outlineLevel="0" collapsed="false">
      <c r="B317" s="21" t="s">
        <v>397</v>
      </c>
      <c r="C317" s="50" t="n">
        <f aca="false">Datos_FMI!$E$6+C316</f>
        <v>-1.6</v>
      </c>
      <c r="D317" s="37" t="n">
        <f aca="false">Datos_FMI!$F$6+D316</f>
        <v>-3.0035</v>
      </c>
      <c r="E317" s="37" t="n">
        <f aca="false">Datos_FMI!$G$6+E316</f>
        <v>-1.664</v>
      </c>
      <c r="F317" s="37" t="n">
        <f aca="false">Datos_FMI!$H$6+F316</f>
        <v>0.2715</v>
      </c>
      <c r="G317" s="37" t="n">
        <f aca="false">Datos_FMI!$I$6+G316</f>
        <v>2.2485</v>
      </c>
      <c r="H317" s="51" t="s">
        <v>114</v>
      </c>
    </row>
    <row r="318" customFormat="false" ht="15" hidden="false" customHeight="false" outlineLevel="0" collapsed="false">
      <c r="B318" s="21" t="s">
        <v>398</v>
      </c>
      <c r="C318" s="50" t="n">
        <v>0</v>
      </c>
      <c r="D318" s="37" t="n">
        <f aca="false">C318+D316</f>
        <v>-0.0035</v>
      </c>
      <c r="E318" s="37" t="n">
        <f aca="false">D318+E316</f>
        <v>-0.1675</v>
      </c>
      <c r="F318" s="37" t="n">
        <f aca="false">E318+F316</f>
        <v>-0.396</v>
      </c>
      <c r="G318" s="37" t="n">
        <f aca="false">F318+G316</f>
        <v>-0.6475</v>
      </c>
      <c r="H318" s="51" t="s">
        <v>114</v>
      </c>
    </row>
    <row r="319" customFormat="false" ht="15" hidden="false" customHeight="false" outlineLevel="0" collapsed="false">
      <c r="B319" s="48" t="s">
        <v>399</v>
      </c>
      <c r="C319" s="49"/>
      <c r="D319" s="49"/>
      <c r="E319" s="49"/>
      <c r="F319" s="49"/>
      <c r="G319" s="49"/>
      <c r="H319" s="49"/>
    </row>
    <row r="320" customFormat="false" ht="15" hidden="false" customHeight="false" outlineLevel="0" collapsed="false">
      <c r="B320" s="21" t="s">
        <v>400</v>
      </c>
      <c r="C320" s="50" t="n">
        <v>0</v>
      </c>
      <c r="D320" s="37" t="n">
        <f aca="false">D311+auto*D316</f>
        <v>0.0343</v>
      </c>
      <c r="E320" s="37" t="n">
        <f aca="false">E311+auto*E316</f>
        <v>0.8372</v>
      </c>
      <c r="F320" s="37" t="n">
        <f aca="false">F311+auto*F316</f>
        <v>1.2393</v>
      </c>
      <c r="G320" s="37" t="n">
        <f aca="false">G311+auto*G316</f>
        <v>1.4347</v>
      </c>
      <c r="H320" s="51" t="s">
        <v>254</v>
      </c>
    </row>
    <row r="321" customFormat="false" ht="15" hidden="false" customHeight="false" outlineLevel="0" collapsed="false">
      <c r="B321" s="21" t="s">
        <v>401</v>
      </c>
      <c r="C321" s="50" t="n">
        <f aca="false">Datos_FMI!$E$17+C320</f>
        <v>-8.8</v>
      </c>
      <c r="D321" s="37" t="n">
        <f aca="false">Datos_FMI!$F$17+D320</f>
        <v>-6.4657</v>
      </c>
      <c r="E321" s="37" t="n">
        <f aca="false">Datos_FMI!$G$17+E320</f>
        <v>-2.1628</v>
      </c>
      <c r="F321" s="37" t="n">
        <f aca="false">Datos_FMI!$H$17+F320</f>
        <v>0.9393</v>
      </c>
      <c r="G321" s="37" t="n">
        <f aca="false">Datos_FMI!$I$17+G320</f>
        <v>2.0347</v>
      </c>
      <c r="H321" s="51" t="s">
        <v>122</v>
      </c>
    </row>
    <row r="322" customFormat="false" ht="15" hidden="false" customHeight="false" outlineLevel="0" collapsed="false">
      <c r="B322" s="21" t="s">
        <v>401</v>
      </c>
      <c r="C322" s="52" t="n">
        <f aca="false">Datos_FMI!$E$18+C320/100*Datos_FMI!$E$9</f>
        <v>-39587</v>
      </c>
      <c r="D322" s="34" t="n">
        <f aca="false">Datos_FMI!$F$18+D320/100*Datos_FMI!$F$9</f>
        <v>-32695.307887</v>
      </c>
      <c r="E322" s="34" t="n">
        <f aca="false">Datos_FMI!$G$18+E320/100*Datos_FMI!$G$9</f>
        <v>-12624.480772</v>
      </c>
      <c r="F322" s="34" t="n">
        <f aca="false">Datos_FMI!$H$18+F320/100*Datos_FMI!$H$9</f>
        <v>5827.144803</v>
      </c>
      <c r="G322" s="34" t="n">
        <f aca="false">Datos_FMI!$I$18+G320/100*Datos_FMI!$I$9</f>
        <v>13793.923098</v>
      </c>
      <c r="H322" s="51" t="s">
        <v>119</v>
      </c>
    </row>
    <row r="323" customFormat="false" ht="15" hidden="false" customHeight="false" outlineLevel="0" collapsed="false">
      <c r="B323" s="21" t="s">
        <v>402</v>
      </c>
      <c r="C323" s="50" t="n">
        <v>0</v>
      </c>
      <c r="D323" s="37" t="n">
        <f aca="false">r_int*C342/Datos_FMI!$F$9*100</f>
        <v>0</v>
      </c>
      <c r="E323" s="37" t="n">
        <f aca="false">r_int*D342/Datos_FMI!$G$9*100</f>
        <v>-0.00195227509385283</v>
      </c>
      <c r="F323" s="37" t="n">
        <f aca="false">r_int*E342/Datos_FMI!$H$9*100</f>
        <v>-0.0526656768840621</v>
      </c>
      <c r="G323" s="37" t="n">
        <f aca="false">r_int*F342/Datos_FMI!$I$9*100</f>
        <v>-0.125041126665676</v>
      </c>
      <c r="H323" s="51" t="s">
        <v>254</v>
      </c>
    </row>
    <row r="324" customFormat="false" ht="15" hidden="false" customHeight="false" outlineLevel="0" collapsed="false">
      <c r="B324" s="21" t="s">
        <v>403</v>
      </c>
      <c r="C324" s="50" t="n">
        <v>0</v>
      </c>
      <c r="D324" s="37" t="n">
        <f aca="false">D320-D323</f>
        <v>0.0343</v>
      </c>
      <c r="E324" s="37" t="n">
        <f aca="false">E320-E323</f>
        <v>0.839152275093853</v>
      </c>
      <c r="F324" s="37" t="n">
        <f aca="false">F320-F323</f>
        <v>1.29196567688406</v>
      </c>
      <c r="G324" s="37" t="n">
        <f aca="false">G320-G323</f>
        <v>1.55974112666568</v>
      </c>
      <c r="H324" s="51" t="s">
        <v>254</v>
      </c>
    </row>
    <row r="325" customFormat="false" ht="15" hidden="false" customHeight="false" outlineLevel="0" collapsed="false">
      <c r="B325" s="21" t="s">
        <v>404</v>
      </c>
      <c r="C325" s="50" t="n">
        <f aca="false">Datos_FMI!$E$19+C324</f>
        <v>-11.4</v>
      </c>
      <c r="D325" s="37" t="n">
        <f aca="false">Datos_FMI!$F$19+D324</f>
        <v>-9.1657</v>
      </c>
      <c r="E325" s="37" t="n">
        <f aca="false">Datos_FMI!$G$19+E324</f>
        <v>-5.86084772490615</v>
      </c>
      <c r="F325" s="37" t="n">
        <f aca="false">Datos_FMI!$H$19+F324</f>
        <v>-2.70803432311594</v>
      </c>
      <c r="G325" s="37" t="n">
        <f aca="false">Datos_FMI!$I$19+G324</f>
        <v>-1.64025887333432</v>
      </c>
      <c r="H325" s="51" t="s">
        <v>122</v>
      </c>
    </row>
    <row r="326" customFormat="false" ht="15" hidden="false" customHeight="false" outlineLevel="0" collapsed="false">
      <c r="B326" s="21" t="s">
        <v>405</v>
      </c>
      <c r="C326" s="52" t="n">
        <v>0</v>
      </c>
      <c r="D326" s="34" t="n">
        <f aca="false">-D324/100*Datos_FMI!$F$9</f>
        <v>-173.692113</v>
      </c>
      <c r="E326" s="34" t="n">
        <f aca="false">-E324/100*Datos_FMI!$G$9</f>
        <v>-4852.809215345</v>
      </c>
      <c r="F326" s="34" t="n">
        <f aca="false">-F324/100*Datos_FMI!$H$9</f>
        <v>-8014.98038934242</v>
      </c>
      <c r="G326" s="34" t="n">
        <f aca="false">-G324/100*Datos_FMI!$I$9</f>
        <v>-10574.0154096497</v>
      </c>
      <c r="H326" s="51" t="s">
        <v>119</v>
      </c>
    </row>
    <row r="327" customFormat="false" ht="15" hidden="false" customHeight="false" outlineLevel="0" collapsed="false">
      <c r="B327" s="21" t="s">
        <v>386</v>
      </c>
      <c r="C327" s="52" t="n">
        <v>0</v>
      </c>
      <c r="D327" s="34" t="n">
        <f aca="false">D306*D334</f>
        <v>0</v>
      </c>
      <c r="E327" s="34" t="n">
        <f aca="false">E306*E334</f>
        <v>0</v>
      </c>
      <c r="F327" s="34" t="n">
        <f aca="false">F306*F334</f>
        <v>0</v>
      </c>
      <c r="G327" s="34" t="n">
        <f aca="false">G306*G334</f>
        <v>0</v>
      </c>
      <c r="H327" s="51" t="s">
        <v>119</v>
      </c>
    </row>
    <row r="328" customFormat="false" ht="15" hidden="false" customHeight="false" outlineLevel="0" collapsed="false">
      <c r="B328" s="21" t="s">
        <v>406</v>
      </c>
      <c r="C328" s="52" t="n">
        <v>0</v>
      </c>
      <c r="D328" s="34" t="n">
        <f aca="false">MIN(cap_dom/100*Datos_FMI!$F$9,MAX(0,D326-D327))</f>
        <v>0</v>
      </c>
      <c r="E328" s="34" t="n">
        <f aca="false">MIN(cap_dom/100*Datos_FMI!$G$9,MAX(0,E326-E327))</f>
        <v>0</v>
      </c>
      <c r="F328" s="34" t="n">
        <f aca="false">MIN(cap_dom/100*Datos_FMI!$H$9,MAX(0,F326-F327))</f>
        <v>0</v>
      </c>
      <c r="G328" s="34" t="n">
        <f aca="false">MIN(cap_dom/100*Datos_FMI!$I$9,MAX(0,G326-G327))</f>
        <v>0</v>
      </c>
      <c r="H328" s="51" t="s">
        <v>119</v>
      </c>
    </row>
    <row r="329" customFormat="false" ht="15" hidden="false" customHeight="false" outlineLevel="0" collapsed="false">
      <c r="B329" s="21" t="s">
        <v>407</v>
      </c>
      <c r="C329" s="50" t="n">
        <v>0</v>
      </c>
      <c r="D329" s="37" t="n">
        <f aca="false">D328/Datos_FMI!$F$9*100</f>
        <v>0</v>
      </c>
      <c r="E329" s="37" t="n">
        <f aca="false">E328/Datos_FMI!$G$9*100</f>
        <v>0</v>
      </c>
      <c r="F329" s="37" t="n">
        <f aca="false">F328/Datos_FMI!$H$9*100</f>
        <v>0</v>
      </c>
      <c r="G329" s="37" t="n">
        <f aca="false">G328/Datos_FMI!$I$9*100</f>
        <v>0</v>
      </c>
      <c r="H329" s="51" t="s">
        <v>254</v>
      </c>
    </row>
    <row r="330" customFormat="false" ht="15" hidden="false" customHeight="false" outlineLevel="0" collapsed="false">
      <c r="B330" s="21" t="s">
        <v>408</v>
      </c>
      <c r="C330" s="52" t="n">
        <v>0</v>
      </c>
      <c r="D330" s="34" t="n">
        <f aca="false">MAX(0,D326-D327-D328)</f>
        <v>0</v>
      </c>
      <c r="E330" s="34" t="n">
        <f aca="false">MAX(0,E326-E327-E328)</f>
        <v>0</v>
      </c>
      <c r="F330" s="34" t="n">
        <f aca="false">MAX(0,F326-F327-F328)</f>
        <v>0</v>
      </c>
      <c r="G330" s="34" t="n">
        <f aca="false">MAX(0,G326-G327-G328)</f>
        <v>0</v>
      </c>
      <c r="H330" s="51" t="s">
        <v>119</v>
      </c>
    </row>
    <row r="331" customFormat="false" ht="15" hidden="false" customHeight="false" outlineLevel="0" collapsed="false">
      <c r="B331" s="48" t="s">
        <v>409</v>
      </c>
      <c r="C331" s="49"/>
      <c r="D331" s="49"/>
      <c r="E331" s="49"/>
      <c r="F331" s="49"/>
      <c r="G331" s="49"/>
      <c r="H331" s="49"/>
    </row>
    <row r="332" customFormat="false" ht="15" hidden="false" customHeight="false" outlineLevel="0" collapsed="false">
      <c r="B332" s="21" t="s">
        <v>410</v>
      </c>
      <c r="C332" s="50" t="n">
        <v>0</v>
      </c>
      <c r="D332" s="37" t="n">
        <f aca="false">D305+bm_dep*D303</f>
        <v>0</v>
      </c>
      <c r="E332" s="37" t="n">
        <f aca="false">E305+bm_dep*E303</f>
        <v>0</v>
      </c>
      <c r="F332" s="37" t="n">
        <f aca="false">F305+bm_dep*F303</f>
        <v>0</v>
      </c>
      <c r="G332" s="37" t="n">
        <f aca="false">G305+bm_dep*G303</f>
        <v>0</v>
      </c>
      <c r="H332" s="51" t="s">
        <v>353</v>
      </c>
    </row>
    <row r="333" customFormat="false" ht="15" hidden="false" customHeight="false" outlineLevel="0" collapsed="false">
      <c r="B333" s="21" t="s">
        <v>411</v>
      </c>
      <c r="C333" s="50" t="n">
        <v>0</v>
      </c>
      <c r="D333" s="37" t="n">
        <f aca="false">C333+D332</f>
        <v>0</v>
      </c>
      <c r="E333" s="37" t="n">
        <f aca="false">D333+E332</f>
        <v>0</v>
      </c>
      <c r="F333" s="37" t="n">
        <f aca="false">E333+F332</f>
        <v>0</v>
      </c>
      <c r="G333" s="37" t="n">
        <f aca="false">F333+G332</f>
        <v>0</v>
      </c>
      <c r="H333" s="51" t="s">
        <v>114</v>
      </c>
    </row>
    <row r="334" customFormat="false" ht="15" hidden="false" customHeight="false" outlineLevel="0" collapsed="false">
      <c r="B334" s="21" t="s">
        <v>412</v>
      </c>
      <c r="C334" s="50" t="n">
        <f aca="false">12.8</f>
        <v>12.8</v>
      </c>
      <c r="D334" s="37" t="n">
        <f aca="false">Datos_FMI!$F$42*(1+D333/100)</f>
        <v>9.40463592699328</v>
      </c>
      <c r="E334" s="37" t="n">
        <f aca="false">Datos_FMI!$G$42*(1+E333/100)</f>
        <v>13.1633156832674</v>
      </c>
      <c r="F334" s="37" t="n">
        <f aca="false">Datos_FMI!$H$42*(1+F333/100)</f>
        <v>13.3720870518832</v>
      </c>
      <c r="G334" s="37" t="n">
        <f aca="false">Datos_FMI!$I$42*(1+G333/100)</f>
        <v>13.5683371794872</v>
      </c>
      <c r="H334" s="51" t="s">
        <v>168</v>
      </c>
    </row>
    <row r="335" customFormat="false" ht="15" hidden="false" customHeight="false" outlineLevel="0" collapsed="false">
      <c r="B335" s="21" t="s">
        <v>413</v>
      </c>
      <c r="C335" s="50" t="n">
        <v>0</v>
      </c>
      <c r="D335" s="37" t="n">
        <f aca="false">-phi_sub*(D298-C298)+mu_bm*(D303+D330/Datos_FMI!$F$34*100)+eta*D316+psi*D332+tax_pi*D300</f>
        <v>0.006125</v>
      </c>
      <c r="E335" s="37" t="n">
        <f aca="false">-phi_sub*(E298-D298)+mu_bm*(E303+E330/Datos_FMI!$G$34*100)+eta*E316+psi*E332+tax_pi*E300</f>
        <v>0.029</v>
      </c>
      <c r="F335" s="37" t="n">
        <f aca="false">-phi_sub*(F298-E298)+mu_bm*(F303+F330/Datos_FMI!$H$34*100)+eta*F316+psi*F332+tax_pi*F300</f>
        <v>0.054875</v>
      </c>
      <c r="G335" s="37" t="n">
        <f aca="false">-phi_sub*(G298-F298)+mu_bm*(G303+G330/Datos_FMI!$I$34*100)+eta*G316+psi*G332+tax_pi*G300</f>
        <v>0.077125</v>
      </c>
      <c r="H335" s="51" t="s">
        <v>353</v>
      </c>
    </row>
    <row r="336" customFormat="false" ht="15" hidden="false" customHeight="false" outlineLevel="0" collapsed="false">
      <c r="B336" s="21" t="s">
        <v>414</v>
      </c>
      <c r="C336" s="50" t="n">
        <f aca="false">Datos_FMI!$E$7+C335</f>
        <v>19.5</v>
      </c>
      <c r="D336" s="37" t="n">
        <f aca="false">Datos_FMI!$F$7+D335</f>
        <v>12.706125</v>
      </c>
      <c r="E336" s="37" t="n">
        <f aca="false">Datos_FMI!$G$7+E335</f>
        <v>15.829</v>
      </c>
      <c r="F336" s="37" t="n">
        <f aca="false">Datos_FMI!$H$7+F335</f>
        <v>8.254875</v>
      </c>
      <c r="G336" s="37" t="n">
        <f aca="false">Datos_FMI!$I$7+G335</f>
        <v>7.377125</v>
      </c>
      <c r="H336" s="51" t="s">
        <v>114</v>
      </c>
    </row>
    <row r="337" customFormat="false" ht="15" hidden="false" customHeight="false" outlineLevel="0" collapsed="false">
      <c r="B337" s="21" t="s">
        <v>415</v>
      </c>
      <c r="C337" s="50" t="n">
        <f aca="false">Datos_FMI!$E$8+C335</f>
        <v>20.4</v>
      </c>
      <c r="D337" s="37" t="n">
        <f aca="false">Datos_FMI!$F$8+D335</f>
        <v>14.206125</v>
      </c>
      <c r="E337" s="37" t="n">
        <f aca="false">Datos_FMI!$G$8+E335</f>
        <v>10.729</v>
      </c>
      <c r="F337" s="37" t="n">
        <f aca="false">Datos_FMI!$H$8+F335</f>
        <v>8.754875</v>
      </c>
      <c r="G337" s="37" t="n">
        <f aca="false">Datos_FMI!$I$8+G335</f>
        <v>6.277125</v>
      </c>
      <c r="H337" s="51" t="s">
        <v>114</v>
      </c>
    </row>
    <row r="338" customFormat="false" ht="15" hidden="false" customHeight="false" outlineLevel="0" collapsed="false">
      <c r="B338" s="21" t="s">
        <v>416</v>
      </c>
      <c r="C338" s="50" t="n">
        <v>0</v>
      </c>
      <c r="D338" s="37" t="n">
        <f aca="false">C338+D335</f>
        <v>0.006125</v>
      </c>
      <c r="E338" s="37" t="n">
        <f aca="false">D338+E335</f>
        <v>0.035125</v>
      </c>
      <c r="F338" s="37" t="n">
        <f aca="false">E338+F335</f>
        <v>0.09</v>
      </c>
      <c r="G338" s="37" t="n">
        <f aca="false">F338+G335</f>
        <v>0.167125</v>
      </c>
      <c r="H338" s="51" t="s">
        <v>114</v>
      </c>
    </row>
    <row r="339" customFormat="false" ht="15" hidden="false" customHeight="false" outlineLevel="0" collapsed="false">
      <c r="B339" s="21" t="s">
        <v>417</v>
      </c>
      <c r="C339" s="52" t="n">
        <f aca="false">Datos_FMI!$E$9*(1+C318/100)*(1+C338/100)</f>
        <v>447553</v>
      </c>
      <c r="D339" s="34" t="n">
        <f aca="false">Datos_FMI!$F$9*(1+D318/100)*(1+D338/100)</f>
        <v>506404.291678174</v>
      </c>
      <c r="E339" s="34" t="n">
        <f aca="false">Datos_FMI!$G$9*(1+E318/100)*(1+E338/100)</f>
        <v>577533.136460148</v>
      </c>
      <c r="F339" s="34" t="n">
        <f aca="false">Datos_FMI!$H$9*(1+F318/100)*(1+F338/100)</f>
        <v>618470.453737756</v>
      </c>
      <c r="G339" s="34" t="n">
        <f aca="false">Datos_FMI!$I$9*(1+G318/100)*(1+G338/100)</f>
        <v>674670.038390646</v>
      </c>
      <c r="H339" s="51" t="s">
        <v>119</v>
      </c>
    </row>
    <row r="340" customFormat="false" ht="15" hidden="false" customHeight="false" outlineLevel="0" collapsed="false">
      <c r="B340" s="48" t="s">
        <v>418</v>
      </c>
      <c r="C340" s="49"/>
      <c r="D340" s="49"/>
      <c r="E340" s="49"/>
      <c r="F340" s="49"/>
      <c r="G340" s="49"/>
      <c r="H340" s="49"/>
    </row>
    <row r="341" customFormat="false" ht="15" hidden="false" customHeight="false" outlineLevel="0" collapsed="false">
      <c r="B341" s="21" t="s">
        <v>419</v>
      </c>
      <c r="C341" s="52" t="n">
        <v>0</v>
      </c>
      <c r="D341" s="34" t="n">
        <f aca="false">C341+D326</f>
        <v>-173.692113</v>
      </c>
      <c r="E341" s="34" t="n">
        <f aca="false">D341+E326</f>
        <v>-5026.501328345</v>
      </c>
      <c r="F341" s="34" t="n">
        <f aca="false">E341+F326</f>
        <v>-13041.4817176874</v>
      </c>
      <c r="G341" s="34" t="n">
        <f aca="false">F341+G326</f>
        <v>-23615.4971273371</v>
      </c>
      <c r="H341" s="51" t="s">
        <v>119</v>
      </c>
    </row>
    <row r="342" customFormat="false" ht="15" hidden="false" customHeight="false" outlineLevel="0" collapsed="false">
      <c r="B342" s="21" t="s">
        <v>420</v>
      </c>
      <c r="C342" s="52" t="n">
        <v>0</v>
      </c>
      <c r="D342" s="34" t="n">
        <f aca="false">D341+Datos_FMI!$F$22*D333/100</f>
        <v>-173.692113</v>
      </c>
      <c r="E342" s="34" t="n">
        <f aca="false">E341+Datos_FMI!$G$22*E333/100</f>
        <v>-5026.501328345</v>
      </c>
      <c r="F342" s="34" t="n">
        <f aca="false">F341+Datos_FMI!$H$22*F333/100</f>
        <v>-13041.4817176874</v>
      </c>
      <c r="G342" s="34" t="n">
        <f aca="false">G341+Datos_FMI!$I$22*G333/100</f>
        <v>-23615.4971273371</v>
      </c>
      <c r="H342" s="51" t="s">
        <v>119</v>
      </c>
    </row>
    <row r="343" customFormat="false" ht="15" hidden="false" customHeight="false" outlineLevel="0" collapsed="false">
      <c r="B343" s="21" t="s">
        <v>421</v>
      </c>
      <c r="C343" s="50" t="n">
        <f aca="false">(Datos_FMI!$E$21+C342)/C339*100</f>
        <v>83.3168362182803</v>
      </c>
      <c r="D343" s="37" t="n">
        <f aca="false">(Datos_FMI!$F$21+D342)/D339*100</f>
        <v>100.440757759266</v>
      </c>
      <c r="E343" s="37" t="n">
        <f aca="false">(Datos_FMI!$G$21+E342)/E339*100</f>
        <v>94.6173412699692</v>
      </c>
      <c r="F343" s="37" t="n">
        <f aca="false">(Datos_FMI!$H$21+F342)/F339*100</f>
        <v>91.3632195147526</v>
      </c>
      <c r="G343" s="37" t="n">
        <f aca="false">(Datos_FMI!$I$21+G342)/G339*100</f>
        <v>86.1346243059606</v>
      </c>
      <c r="H343" s="51" t="s">
        <v>122</v>
      </c>
    </row>
    <row r="344" customFormat="false" ht="15" hidden="false" customHeight="false" outlineLevel="0" collapsed="false">
      <c r="B344" s="48" t="s">
        <v>422</v>
      </c>
      <c r="C344" s="49"/>
      <c r="D344" s="49"/>
      <c r="E344" s="49"/>
      <c r="F344" s="49"/>
      <c r="G344" s="49"/>
      <c r="H344" s="49"/>
    </row>
    <row r="345" customFormat="false" ht="15" hidden="false" customHeight="false" outlineLevel="0" collapsed="false">
      <c r="B345" s="21" t="s">
        <v>423</v>
      </c>
      <c r="C345" s="52" t="n">
        <v>0</v>
      </c>
      <c r="D345" s="34" t="n">
        <f aca="false">D306-D307-imp_el*D316/100*Datos_FMI!$F$24-sub_leak*D298/100*Datos_FMI!$F$41-bm_flight*D303-monet_leak*D330/D334</f>
        <v>0.65583</v>
      </c>
      <c r="E345" s="34" t="n">
        <f aca="false">E306-E307-imp_el*E316/100*Datos_FMI!$G$24-sub_leak*E298/100*Datos_FMI!$G$41-bm_flight*E303-monet_leak*E330/E334</f>
        <v>30.47694</v>
      </c>
      <c r="F345" s="34" t="n">
        <f aca="false">F306-F307-imp_el*F316/100*Datos_FMI!$H$24-sub_leak*F298/100*Datos_FMI!$H$41-bm_flight*F303-monet_leak*F330/F334</f>
        <v>45.318405</v>
      </c>
      <c r="G345" s="34" t="n">
        <f aca="false">G306-G307-imp_el*G316/100*Datos_FMI!$I$24-sub_leak*G298/100*Datos_FMI!$I$41-bm_flight*G303-monet_leak*G330/G334</f>
        <v>52.9659</v>
      </c>
      <c r="H345" s="51" t="s">
        <v>140</v>
      </c>
    </row>
    <row r="346" customFormat="false" ht="15" hidden="false" customHeight="false" outlineLevel="0" collapsed="false">
      <c r="B346" s="21" t="s">
        <v>424</v>
      </c>
      <c r="C346" s="52" t="n">
        <v>0</v>
      </c>
      <c r="D346" s="34" t="n">
        <f aca="false">C346+D345</f>
        <v>0.65583</v>
      </c>
      <c r="E346" s="34" t="n">
        <f aca="false">D346+E345</f>
        <v>31.13277</v>
      </c>
      <c r="F346" s="34" t="n">
        <f aca="false">E346+F345</f>
        <v>76.451175</v>
      </c>
      <c r="G346" s="34" t="n">
        <f aca="false">F346+G345</f>
        <v>129.417075</v>
      </c>
      <c r="H346" s="51" t="s">
        <v>140</v>
      </c>
    </row>
    <row r="347" customFormat="false" ht="15" hidden="false" customHeight="false" outlineLevel="0" collapsed="false">
      <c r="B347" s="21" t="s">
        <v>425</v>
      </c>
      <c r="C347" s="52" t="n">
        <f aca="false">Datos_FMI!$E$31+C346</f>
        <v>-2990</v>
      </c>
      <c r="D347" s="34" t="n">
        <f aca="false">Datos_FMI!$F$31+D346</f>
        <v>-580.34417</v>
      </c>
      <c r="E347" s="34" t="n">
        <f aca="false">Datos_FMI!$G$31+E346</f>
        <v>775.13277</v>
      </c>
      <c r="F347" s="34" t="n">
        <f aca="false">Datos_FMI!$H$31+F346</f>
        <v>1380.451175</v>
      </c>
      <c r="G347" s="34" t="n">
        <f aca="false">Datos_FMI!$I$31+G346</f>
        <v>2007.417075</v>
      </c>
      <c r="H347" s="51" t="s">
        <v>140</v>
      </c>
    </row>
    <row r="348" customFormat="false" ht="15" hidden="false" customHeight="false" outlineLevel="0" collapsed="false">
      <c r="B348" s="21" t="s">
        <v>426</v>
      </c>
      <c r="C348" s="52" t="n">
        <f aca="false">Datos_FMI!$E$28+C346</f>
        <v>627</v>
      </c>
      <c r="D348" s="34" t="n">
        <f aca="false">Datos_FMI!$F$28+D346</f>
        <v>2458.65583</v>
      </c>
      <c r="E348" s="34" t="n">
        <f aca="false">Datos_FMI!$G$28+E346</f>
        <v>4013.13277</v>
      </c>
      <c r="F348" s="34" t="n">
        <f aca="false">Datos_FMI!$H$28+F346</f>
        <v>4766.451175</v>
      </c>
      <c r="G348" s="34" t="n">
        <f aca="false">Datos_FMI!$I$28+G346</f>
        <v>5656.417075</v>
      </c>
      <c r="H348" s="51" t="s">
        <v>140</v>
      </c>
    </row>
    <row r="349" customFormat="false" ht="15" hidden="false" customHeight="false" outlineLevel="0" collapsed="false">
      <c r="B349" s="21" t="s">
        <v>427</v>
      </c>
      <c r="C349" s="50" t="n">
        <f aca="false">Datos_FMI!$E$29*C348/Datos_FMI!$E$28</f>
        <v>10.9</v>
      </c>
      <c r="D349" s="37" t="n">
        <f aca="false">Datos_FMI!$F$29*D348/Datos_FMI!$F$28</f>
        <v>53.4142478934093</v>
      </c>
      <c r="E349" s="37" t="n">
        <f aca="false">Datos_FMI!$G$29*E348/Datos_FMI!$G$28</f>
        <v>86.7731621037167</v>
      </c>
      <c r="F349" s="37" t="n">
        <f aca="false">Datos_FMI!$H$29*F348/Datos_FMI!$H$28</f>
        <v>101.731719108209</v>
      </c>
      <c r="G349" s="37" t="n">
        <f aca="false">Datos_FMI!$I$29*G348/Datos_FMI!$I$28</f>
        <v>114.929552654695</v>
      </c>
      <c r="H349" s="51" t="s">
        <v>114</v>
      </c>
    </row>
    <row r="350" customFormat="false" ht="15" hidden="false" customHeight="false" outlineLevel="0" collapsed="false">
      <c r="B350" s="48" t="s">
        <v>428</v>
      </c>
      <c r="C350" s="49"/>
      <c r="D350" s="49"/>
      <c r="E350" s="49"/>
      <c r="F350" s="49"/>
      <c r="G350" s="49"/>
      <c r="H350" s="49"/>
    </row>
    <row r="351" customFormat="false" ht="15" hidden="false" customHeight="false" outlineLevel="0" collapsed="false">
      <c r="B351" s="21" t="s">
        <v>429</v>
      </c>
      <c r="C351" s="50" t="n">
        <f aca="false">Datos_FMI!$E$32+C313</f>
        <v>3.1</v>
      </c>
      <c r="D351" s="37" t="n">
        <f aca="false">Datos_FMI!$F$32+D313</f>
        <v>4</v>
      </c>
      <c r="E351" s="37" t="n">
        <f aca="false">Datos_FMI!$G$32+E313</f>
        <v>7.3</v>
      </c>
      <c r="F351" s="37" t="n">
        <f aca="false">Datos_FMI!$H$32+F313</f>
        <v>7.3</v>
      </c>
      <c r="G351" s="37" t="n">
        <f aca="false">Datos_FMI!$I$32+G313</f>
        <v>9.5</v>
      </c>
      <c r="H351" s="51" t="s">
        <v>114</v>
      </c>
    </row>
    <row r="352" customFormat="false" ht="15" hidden="false" customHeight="false" outlineLevel="0" collapsed="false">
      <c r="B352" s="21" t="s">
        <v>430</v>
      </c>
      <c r="C352" s="50" t="n">
        <v>0</v>
      </c>
      <c r="D352" s="37" t="n">
        <f aca="false">C352+D303</f>
        <v>0</v>
      </c>
      <c r="E352" s="37" t="n">
        <f aca="false">D352+E303</f>
        <v>0</v>
      </c>
      <c r="F352" s="37" t="n">
        <f aca="false">E352+F303</f>
        <v>0</v>
      </c>
      <c r="G352" s="37" t="n">
        <f aca="false">F352+G303</f>
        <v>0</v>
      </c>
      <c r="H352" s="51" t="s">
        <v>114</v>
      </c>
    </row>
    <row r="353" customFormat="false" ht="15" hidden="false" customHeight="false" outlineLevel="0" collapsed="false">
      <c r="B353" s="21" t="s">
        <v>431</v>
      </c>
      <c r="C353" s="52" t="n">
        <v>0</v>
      </c>
      <c r="D353" s="34" t="n">
        <f aca="false">C353+D330</f>
        <v>0</v>
      </c>
      <c r="E353" s="34" t="n">
        <f aca="false">D353+E330</f>
        <v>0</v>
      </c>
      <c r="F353" s="34" t="n">
        <f aca="false">E353+F330</f>
        <v>0</v>
      </c>
      <c r="G353" s="34" t="n">
        <f aca="false">F353+G330</f>
        <v>0</v>
      </c>
      <c r="H353" s="51" t="s">
        <v>119</v>
      </c>
    </row>
    <row r="354" customFormat="false" ht="15" hidden="false" customHeight="false" outlineLevel="0" collapsed="false">
      <c r="B354" s="21" t="s">
        <v>432</v>
      </c>
      <c r="C354" s="52" t="n">
        <f aca="false">Datos_FMI!$E$34</f>
        <v>132269</v>
      </c>
      <c r="D354" s="34" t="n">
        <f aca="false">meta_bm*(1+D352/100)+D353</f>
        <v>133900</v>
      </c>
      <c r="E354" s="34" t="n">
        <f aca="false">Datos_FMI!$G$34*(1+E352/100)+E353</f>
        <v>148333</v>
      </c>
      <c r="F354" s="34" t="n">
        <f aca="false">Datos_FMI!$H$34*(1+F352/100)+F353</f>
        <v>161304</v>
      </c>
      <c r="G354" s="34" t="n">
        <f aca="false">Datos_FMI!$I$34*(1+G352/100)+G353</f>
        <v>177013</v>
      </c>
      <c r="H354" s="51" t="s">
        <v>119</v>
      </c>
    </row>
    <row r="355" customFormat="false" ht="15" hidden="false" customHeight="false" outlineLevel="0" collapsed="false">
      <c r="B355" s="48" t="s">
        <v>433</v>
      </c>
      <c r="C355" s="49"/>
      <c r="D355" s="49"/>
      <c r="E355" s="49"/>
      <c r="F355" s="49"/>
      <c r="G355" s="49"/>
      <c r="H355" s="49"/>
    </row>
    <row r="356" customFormat="false" ht="15" hidden="false" customHeight="false" outlineLevel="0" collapsed="false">
      <c r="B356" s="21" t="s">
        <v>434</v>
      </c>
      <c r="C356" s="52" t="n">
        <f aca="false">Datos_FMI!$E$14+C299/100*Datos_FMI!$E$9</f>
        <v>5525</v>
      </c>
      <c r="D356" s="34" t="n">
        <f aca="false">Datos_FMI!$F$14+D299/100*Datos_FMI!$F$9</f>
        <v>10890</v>
      </c>
      <c r="E356" s="34" t="n">
        <f aca="false">Datos_FMI!$G$14+E299/100*Datos_FMI!$G$9</f>
        <v>12722.578</v>
      </c>
      <c r="F356" s="34" t="n">
        <f aca="false">Datos_FMI!$H$14+F299/100*Datos_FMI!$H$9</f>
        <v>8064.823</v>
      </c>
      <c r="G356" s="34" t="n">
        <f aca="false">Datos_FMI!$I$14+G299/100*Datos_FMI!$I$9</f>
        <v>8813.142</v>
      </c>
      <c r="H356" s="51" t="s">
        <v>119</v>
      </c>
    </row>
    <row r="357" customFormat="false" ht="15" hidden="false" customHeight="false" outlineLevel="0" collapsed="false">
      <c r="B357" s="21" t="s">
        <v>435</v>
      </c>
      <c r="C357" s="52" t="n">
        <v>0</v>
      </c>
      <c r="D357" s="34" t="n">
        <f aca="false">emp_el*D318/100*pea</f>
        <v>-0.112</v>
      </c>
      <c r="E357" s="34" t="n">
        <f aca="false">emp_el*E318/100*pea</f>
        <v>-5.36</v>
      </c>
      <c r="F357" s="34" t="n">
        <f aca="false">emp_el*F318/100*pea</f>
        <v>-12.672</v>
      </c>
      <c r="G357" s="34" t="n">
        <f aca="false">emp_el*G318/100*pea</f>
        <v>-20.72</v>
      </c>
      <c r="H357" s="51" t="s">
        <v>315</v>
      </c>
    </row>
    <row r="358" customFormat="false" ht="15" hidden="false" customHeight="false" outlineLevel="0" collapsed="false">
      <c r="B358" s="21" t="s">
        <v>436</v>
      </c>
      <c r="C358" s="50" t="n">
        <v>0</v>
      </c>
      <c r="D358" s="37" t="n">
        <f aca="false">-pov_g*D318-pov_soc*D299+pov_pi*D335-pov_sub*D298</f>
        <v>0.00336875</v>
      </c>
      <c r="E358" s="37" t="n">
        <f aca="false">-pov_g*E318-pov_soc*E299+pov_pi*E335-pov_sub*E298</f>
        <v>0.1216</v>
      </c>
      <c r="F358" s="37" t="n">
        <f aca="false">-pov_g*F318-pov_soc*F299+pov_pi*F335-pov_sub*F298</f>
        <v>0.28543125</v>
      </c>
      <c r="G358" s="37" t="n">
        <f aca="false">-pov_g*G318-pov_soc*G299+pov_pi*G335-pov_sub*G298</f>
        <v>0.46481875</v>
      </c>
      <c r="H358" s="51" t="s">
        <v>353</v>
      </c>
    </row>
    <row r="359" customFormat="false" ht="15" hidden="false" customHeight="false" outlineLevel="0" collapsed="false">
      <c r="B359" s="21" t="s">
        <v>437</v>
      </c>
      <c r="C359" s="50" t="n">
        <v>0</v>
      </c>
      <c r="D359" s="37" t="n">
        <f aca="false">-gini_tpr*D301-gini_soc*D299</f>
        <v>-0</v>
      </c>
      <c r="E359" s="37" t="n">
        <f aca="false">-gini_tpr*E301-gini_soc*E299</f>
        <v>-0.09</v>
      </c>
      <c r="F359" s="37" t="n">
        <f aca="false">-gini_tpr*F301-gini_soc*F299</f>
        <v>-0.15</v>
      </c>
      <c r="G359" s="37" t="n">
        <f aca="false">-gini_tpr*G301-gini_soc*G299</f>
        <v>-0.18</v>
      </c>
      <c r="H359" s="51" t="s">
        <v>438</v>
      </c>
    </row>
    <row r="365" customFormat="false" ht="15" hidden="false" customHeight="false" outlineLevel="0" collapsed="false">
      <c r="B365" s="46" t="s">
        <v>368</v>
      </c>
      <c r="C365" s="47"/>
      <c r="D365" s="47"/>
      <c r="E365" s="47"/>
      <c r="F365" s="47"/>
      <c r="G365" s="47"/>
      <c r="H365" s="47"/>
    </row>
    <row r="366" customFormat="false" ht="15" hidden="false" customHeight="false" outlineLevel="0" collapsed="false">
      <c r="B366" s="11" t="s">
        <v>374</v>
      </c>
      <c r="C366" s="11" t="s">
        <v>109</v>
      </c>
      <c r="D366" s="11" t="s">
        <v>99</v>
      </c>
      <c r="E366" s="11" t="s">
        <v>100</v>
      </c>
      <c r="F366" s="11" t="s">
        <v>101</v>
      </c>
      <c r="G366" s="11" t="s">
        <v>102</v>
      </c>
      <c r="H366" s="11" t="s">
        <v>107</v>
      </c>
    </row>
    <row r="367" customFormat="false" ht="15" hidden="false" customHeight="false" outlineLevel="0" collapsed="false">
      <c r="B367" s="48" t="s">
        <v>375</v>
      </c>
      <c r="C367" s="49"/>
      <c r="D367" s="49"/>
      <c r="E367" s="49"/>
      <c r="F367" s="49"/>
      <c r="G367" s="49"/>
      <c r="H367" s="49"/>
    </row>
    <row r="368" customFormat="false" ht="15" hidden="false" customHeight="false" outlineLevel="0" collapsed="false">
      <c r="B368" s="21" t="s">
        <v>376</v>
      </c>
      <c r="C368" s="50" t="n">
        <v>0</v>
      </c>
      <c r="D368" s="16" t="n">
        <f aca="false">Palancas!D98*ef26</f>
        <v>0</v>
      </c>
      <c r="E368" s="16" t="n">
        <f aca="false">Palancas!E98*1</f>
        <v>0</v>
      </c>
      <c r="F368" s="16" t="n">
        <f aca="false">Palancas!F98*1</f>
        <v>0</v>
      </c>
      <c r="G368" s="16" t="n">
        <f aca="false">Palancas!G98*1</f>
        <v>0</v>
      </c>
      <c r="H368" s="51" t="s">
        <v>254</v>
      </c>
    </row>
    <row r="369" customFormat="false" ht="15" hidden="false" customHeight="false" outlineLevel="0" collapsed="false">
      <c r="B369" s="21" t="s">
        <v>377</v>
      </c>
      <c r="C369" s="50" t="n">
        <v>0</v>
      </c>
      <c r="D369" s="16" t="n">
        <f aca="false">Palancas!D99*ef26</f>
        <v>-0.05</v>
      </c>
      <c r="E369" s="16" t="n">
        <f aca="false">Palancas!E99*1</f>
        <v>-0.4</v>
      </c>
      <c r="F369" s="16" t="n">
        <f aca="false">Palancas!F99*1</f>
        <v>-0.3</v>
      </c>
      <c r="G369" s="16" t="n">
        <f aca="false">Palancas!G99*1</f>
        <v>-0.2</v>
      </c>
      <c r="H369" s="51" t="s">
        <v>254</v>
      </c>
    </row>
    <row r="370" customFormat="false" ht="15" hidden="false" customHeight="false" outlineLevel="0" collapsed="false">
      <c r="B370" s="21" t="s">
        <v>378</v>
      </c>
      <c r="C370" s="50" t="n">
        <v>0</v>
      </c>
      <c r="D370" s="16" t="n">
        <f aca="false">Palancas!D100*ef26</f>
        <v>0</v>
      </c>
      <c r="E370" s="16" t="n">
        <f aca="false">Palancas!E100*1</f>
        <v>0.8</v>
      </c>
      <c r="F370" s="16" t="n">
        <f aca="false">Palancas!F100*1</f>
        <v>0.3</v>
      </c>
      <c r="G370" s="16" t="n">
        <f aca="false">Palancas!G100*1</f>
        <v>0</v>
      </c>
      <c r="H370" s="51" t="s">
        <v>254</v>
      </c>
    </row>
    <row r="371" customFormat="false" ht="15" hidden="false" customHeight="false" outlineLevel="0" collapsed="false">
      <c r="B371" s="21" t="s">
        <v>379</v>
      </c>
      <c r="C371" s="50" t="n">
        <v>0</v>
      </c>
      <c r="D371" s="16" t="n">
        <f aca="false">Palancas!D101*ef26</f>
        <v>0.05</v>
      </c>
      <c r="E371" s="16" t="n">
        <f aca="false">Palancas!E101*1</f>
        <v>0.4</v>
      </c>
      <c r="F371" s="16" t="n">
        <f aca="false">Palancas!F101*1</f>
        <v>0.3</v>
      </c>
      <c r="G371" s="16" t="n">
        <f aca="false">Palancas!G101*1</f>
        <v>0.2</v>
      </c>
      <c r="H371" s="51" t="s">
        <v>254</v>
      </c>
    </row>
    <row r="372" customFormat="false" ht="15" hidden="false" customHeight="false" outlineLevel="0" collapsed="false">
      <c r="B372" s="21" t="s">
        <v>380</v>
      </c>
      <c r="C372" s="50" t="n">
        <v>0</v>
      </c>
      <c r="D372" s="16" t="n">
        <f aca="false">Palancas!D102*ef26*r_tev</f>
        <v>0</v>
      </c>
      <c r="E372" s="16" t="n">
        <f aca="false">Palancas!E102*1*r_tev</f>
        <v>0</v>
      </c>
      <c r="F372" s="16" t="n">
        <f aca="false">Palancas!F102*1*r_tev</f>
        <v>0</v>
      </c>
      <c r="G372" s="16" t="n">
        <f aca="false">Palancas!G102*1*r_tev</f>
        <v>0</v>
      </c>
      <c r="H372" s="51" t="s">
        <v>254</v>
      </c>
    </row>
    <row r="373" customFormat="false" ht="15" hidden="false" customHeight="false" outlineLevel="0" collapsed="false">
      <c r="B373" s="21" t="s">
        <v>381</v>
      </c>
      <c r="C373" s="50" t="n">
        <v>0</v>
      </c>
      <c r="D373" s="16" t="n">
        <f aca="false">Palancas!D103*ef26*r_tpr</f>
        <v>0</v>
      </c>
      <c r="E373" s="16" t="n">
        <f aca="false">Palancas!E103*1*r_tpr</f>
        <v>0</v>
      </c>
      <c r="F373" s="16" t="n">
        <f aca="false">Palancas!F103*1*r_tpr</f>
        <v>0</v>
      </c>
      <c r="G373" s="16" t="n">
        <f aca="false">Palancas!G103*1*r_tpr</f>
        <v>0</v>
      </c>
      <c r="H373" s="51" t="s">
        <v>254</v>
      </c>
    </row>
    <row r="374" customFormat="false" ht="15" hidden="false" customHeight="false" outlineLevel="0" collapsed="false">
      <c r="B374" s="21" t="s">
        <v>382</v>
      </c>
      <c r="C374" s="50" t="n">
        <v>0</v>
      </c>
      <c r="D374" s="16" t="n">
        <f aca="false">Palancas!D104*ef26*r_tex</f>
        <v>0</v>
      </c>
      <c r="E374" s="16" t="n">
        <f aca="false">Palancas!E104*1*r_tex</f>
        <v>0</v>
      </c>
      <c r="F374" s="16" t="n">
        <f aca="false">Palancas!F104*1*r_tex</f>
        <v>0</v>
      </c>
      <c r="G374" s="16" t="n">
        <f aca="false">Palancas!G104*1*r_tex</f>
        <v>0</v>
      </c>
      <c r="H374" s="51" t="s">
        <v>254</v>
      </c>
    </row>
    <row r="375" customFormat="false" ht="15" hidden="false" customHeight="false" outlineLevel="0" collapsed="false">
      <c r="B375" s="21" t="s">
        <v>383</v>
      </c>
      <c r="C375" s="50" t="n">
        <v>0</v>
      </c>
      <c r="D375" s="16" t="n">
        <f aca="false">Palancas!D105*ef26</f>
        <v>0</v>
      </c>
      <c r="E375" s="16" t="n">
        <f aca="false">Palancas!E105*1</f>
        <v>0</v>
      </c>
      <c r="F375" s="16" t="n">
        <f aca="false">Palancas!F105*1</f>
        <v>0</v>
      </c>
      <c r="G375" s="16" t="n">
        <f aca="false">Palancas!G105*1</f>
        <v>0</v>
      </c>
      <c r="H375" s="51" t="s">
        <v>353</v>
      </c>
    </row>
    <row r="376" customFormat="false" ht="15" hidden="false" customHeight="false" outlineLevel="0" collapsed="false">
      <c r="B376" s="21" t="s">
        <v>384</v>
      </c>
      <c r="C376" s="50" t="n">
        <v>0</v>
      </c>
      <c r="D376" s="16" t="n">
        <f aca="false">Palancas!D106*ef26</f>
        <v>0</v>
      </c>
      <c r="E376" s="16" t="n">
        <f aca="false">Palancas!E106*1</f>
        <v>0</v>
      </c>
      <c r="F376" s="16" t="n">
        <f aca="false">Palancas!F106*1</f>
        <v>0</v>
      </c>
      <c r="G376" s="16" t="n">
        <f aca="false">Palancas!G106*1</f>
        <v>0</v>
      </c>
      <c r="H376" s="51" t="s">
        <v>353</v>
      </c>
    </row>
    <row r="377" customFormat="false" ht="15" hidden="false" customHeight="false" outlineLevel="0" collapsed="false">
      <c r="B377" s="21" t="s">
        <v>385</v>
      </c>
      <c r="C377" s="50" t="n">
        <v>0</v>
      </c>
      <c r="D377" s="16" t="n">
        <f aca="false">Palancas!D107*ef26</f>
        <v>0</v>
      </c>
      <c r="E377" s="16" t="n">
        <f aca="false">Palancas!E107*1</f>
        <v>0</v>
      </c>
      <c r="F377" s="16" t="n">
        <f aca="false">Palancas!F107*1</f>
        <v>0</v>
      </c>
      <c r="G377" s="16" t="n">
        <f aca="false">Palancas!G107*1</f>
        <v>0</v>
      </c>
      <c r="H377" s="51" t="s">
        <v>353</v>
      </c>
    </row>
    <row r="378" customFormat="false" ht="15" hidden="false" customHeight="false" outlineLevel="0" collapsed="false">
      <c r="B378" s="21" t="s">
        <v>386</v>
      </c>
      <c r="C378" s="52" t="n">
        <v>0</v>
      </c>
      <c r="D378" s="14" t="n">
        <f aca="false">Palancas!D108</f>
        <v>0</v>
      </c>
      <c r="E378" s="14" t="n">
        <f aca="false">Palancas!E108</f>
        <v>200</v>
      </c>
      <c r="F378" s="14" t="n">
        <f aca="false">Palancas!F108</f>
        <v>100</v>
      </c>
      <c r="G378" s="14" t="n">
        <f aca="false">Palancas!G108</f>
        <v>0</v>
      </c>
      <c r="H378" s="51" t="s">
        <v>140</v>
      </c>
    </row>
    <row r="379" customFormat="false" ht="15" hidden="false" customHeight="false" outlineLevel="0" collapsed="false">
      <c r="B379" s="21" t="s">
        <v>387</v>
      </c>
      <c r="C379" s="52" t="n">
        <v>0</v>
      </c>
      <c r="D379" s="14" t="n">
        <f aca="false">Palancas!D109</f>
        <v>0</v>
      </c>
      <c r="E379" s="14" t="n">
        <f aca="false">Palancas!E109</f>
        <v>0</v>
      </c>
      <c r="F379" s="14" t="n">
        <f aca="false">Palancas!F109</f>
        <v>0</v>
      </c>
      <c r="G379" s="14" t="n">
        <f aca="false">Palancas!G109</f>
        <v>0</v>
      </c>
      <c r="H379" s="51" t="s">
        <v>140</v>
      </c>
    </row>
    <row r="380" customFormat="false" ht="15" hidden="false" customHeight="false" outlineLevel="0" collapsed="false">
      <c r="B380" s="48" t="s">
        <v>388</v>
      </c>
      <c r="C380" s="49"/>
      <c r="D380" s="49"/>
      <c r="E380" s="49"/>
      <c r="F380" s="49"/>
      <c r="G380" s="49"/>
      <c r="H380" s="49"/>
    </row>
    <row r="381" customFormat="false" ht="15" hidden="false" customHeight="false" outlineLevel="0" collapsed="false">
      <c r="B381" s="21" t="s">
        <v>389</v>
      </c>
      <c r="C381" s="50" t="n">
        <f aca="false">C368+C369+C370+C371</f>
        <v>0</v>
      </c>
      <c r="D381" s="37" t="n">
        <f aca="false">D368+D369+D370+D371</f>
        <v>0</v>
      </c>
      <c r="E381" s="37" t="n">
        <f aca="false">E368+E369+E370+E371</f>
        <v>0.8</v>
      </c>
      <c r="F381" s="37" t="n">
        <f aca="false">F368+F369+F370+F371</f>
        <v>0.3</v>
      </c>
      <c r="G381" s="37" t="n">
        <f aca="false">G368+G369+G370+G371</f>
        <v>0</v>
      </c>
      <c r="H381" s="51" t="s">
        <v>254</v>
      </c>
    </row>
    <row r="382" customFormat="false" ht="15" hidden="false" customHeight="false" outlineLevel="0" collapsed="false">
      <c r="B382" s="21" t="s">
        <v>390</v>
      </c>
      <c r="C382" s="50" t="n">
        <f aca="false">C372+C373+C374</f>
        <v>0</v>
      </c>
      <c r="D382" s="37" t="n">
        <f aca="false">D372+D373+D374</f>
        <v>0</v>
      </c>
      <c r="E382" s="37" t="n">
        <f aca="false">E372+E373+E374</f>
        <v>0</v>
      </c>
      <c r="F382" s="37" t="n">
        <f aca="false">F372+F373+F374</f>
        <v>0</v>
      </c>
      <c r="G382" s="37" t="n">
        <f aca="false">G372+G373+G374</f>
        <v>0</v>
      </c>
      <c r="H382" s="51" t="s">
        <v>254</v>
      </c>
    </row>
    <row r="383" customFormat="false" ht="15" hidden="false" customHeight="false" outlineLevel="0" collapsed="false">
      <c r="B383" s="21" t="s">
        <v>391</v>
      </c>
      <c r="C383" s="50" t="n">
        <f aca="false">C382-C381</f>
        <v>0</v>
      </c>
      <c r="D383" s="37" t="n">
        <f aca="false">D382-D381</f>
        <v>0</v>
      </c>
      <c r="E383" s="37" t="n">
        <f aca="false">E382-E381</f>
        <v>-0.8</v>
      </c>
      <c r="F383" s="37" t="n">
        <f aca="false">F382-F381</f>
        <v>-0.3</v>
      </c>
      <c r="G383" s="37" t="n">
        <f aca="false">G382-G381</f>
        <v>0</v>
      </c>
      <c r="H383" s="51" t="s">
        <v>254</v>
      </c>
    </row>
    <row r="384" customFormat="false" ht="15" hidden="false" customHeight="false" outlineLevel="0" collapsed="false">
      <c r="B384" s="48" t="s">
        <v>392</v>
      </c>
      <c r="C384" s="49"/>
      <c r="D384" s="49"/>
      <c r="E384" s="49"/>
      <c r="F384" s="49"/>
      <c r="G384" s="49"/>
      <c r="H384" s="49"/>
    </row>
    <row r="385" customFormat="false" ht="15" hidden="false" customHeight="false" outlineLevel="0" collapsed="false">
      <c r="B385" s="21" t="s">
        <v>393</v>
      </c>
      <c r="C385" s="50" t="n">
        <v>0</v>
      </c>
      <c r="D385" s="37" t="n">
        <f aca="false">D376+bm_cred*D375-crowd*C401/(Datos_FMI!$F$33/100)</f>
        <v>0</v>
      </c>
      <c r="E385" s="37" t="n">
        <f aca="false">E376+bm_cred*E375-crowd*D401/(Datos_FMI!$G$33/100)</f>
        <v>0</v>
      </c>
      <c r="F385" s="37" t="n">
        <f aca="false">F376+bm_cred*F375-crowd*E401/(Datos_FMI!$H$33/100)</f>
        <v>-0.351950347694764</v>
      </c>
      <c r="G385" s="37" t="n">
        <f aca="false">G376+bm_cred*G375-crowd*F401/(Datos_FMI!$I$33/100)</f>
        <v>-0.128838939033795</v>
      </c>
      <c r="H385" s="51" t="s">
        <v>353</v>
      </c>
    </row>
    <row r="386" customFormat="false" ht="15" hidden="false" customHeight="false" outlineLevel="0" collapsed="false">
      <c r="B386" s="21" t="s">
        <v>394</v>
      </c>
      <c r="C386" s="50" t="n">
        <v>0</v>
      </c>
      <c r="D386" s="37" t="n">
        <f aca="false">C386+D368</f>
        <v>0</v>
      </c>
      <c r="E386" s="37" t="n">
        <f aca="false">D386+E368</f>
        <v>0</v>
      </c>
      <c r="F386" s="37" t="n">
        <f aca="false">E386+F368</f>
        <v>0</v>
      </c>
      <c r="G386" s="37" t="n">
        <f aca="false">F386+G368</f>
        <v>0</v>
      </c>
      <c r="H386" s="51" t="s">
        <v>254</v>
      </c>
    </row>
    <row r="387" customFormat="false" ht="15" hidden="false" customHeight="false" outlineLevel="0" collapsed="false">
      <c r="B387" s="21" t="s">
        <v>395</v>
      </c>
      <c r="C387" s="50" t="n">
        <v>0</v>
      </c>
      <c r="D387" s="37" t="n">
        <f aca="false">kappa*MAX(0,-D383-tol)</f>
        <v>0</v>
      </c>
      <c r="E387" s="37" t="n">
        <f aca="false">kappa*MAX(0,-E383-tol)</f>
        <v>0.09</v>
      </c>
      <c r="F387" s="37" t="n">
        <f aca="false">kappa*MAX(0,-F383-tol)</f>
        <v>0</v>
      </c>
      <c r="G387" s="37" t="n">
        <f aca="false">kappa*MAX(0,-G383-tol)</f>
        <v>0</v>
      </c>
      <c r="H387" s="51" t="s">
        <v>353</v>
      </c>
    </row>
    <row r="388" customFormat="false" ht="15" hidden="false" customHeight="false" outlineLevel="0" collapsed="false">
      <c r="B388" s="21" t="s">
        <v>396</v>
      </c>
      <c r="C388" s="50" t="n">
        <v>0</v>
      </c>
      <c r="D388" s="37" t="n">
        <f aca="false">m_inv*D368+m_cur*D369+m_sub*D370+m_soc*D371-(m_tev*D372+m_tpr*D373+m_tex*D374)+eps_cred*D385+s_inv*C386+nu_dep*D377-D387</f>
        <v>0.01</v>
      </c>
      <c r="E388" s="37" t="n">
        <f aca="false">m_inv*E368+m_cur*E369+m_sub*E370+m_soc*E371-(m_tev*E372+m_tpr*E373+m_tex*E374)+eps_cred*E385+s_inv*D386+nu_dep*E377-E387</f>
        <v>0.15</v>
      </c>
      <c r="F388" s="37" t="n">
        <f aca="false">m_inv*F368+m_cur*F369+m_sub*F370+m_soc*F371-(m_tev*F372+m_tpr*F373+m_tex*F374)+eps_cred*F385+s_inv*E386+nu_dep*F377-F387</f>
        <v>0.0777659582766283</v>
      </c>
      <c r="G388" s="37" t="n">
        <f aca="false">m_inv*G368+m_cur*G369+m_sub*G370+m_soc*G371-(m_tev*G372+m_tpr*G373+m_tex*G374)+eps_cred*G385+s_inv*F386+nu_dep*G377-G387</f>
        <v>0.0245393273159446</v>
      </c>
      <c r="H388" s="51" t="s">
        <v>353</v>
      </c>
    </row>
    <row r="389" customFormat="false" ht="15" hidden="false" customHeight="false" outlineLevel="0" collapsed="false">
      <c r="B389" s="21" t="s">
        <v>397</v>
      </c>
      <c r="C389" s="50" t="n">
        <f aca="false">Datos_FMI!$E$6+C388</f>
        <v>-1.6</v>
      </c>
      <c r="D389" s="37" t="n">
        <f aca="false">Datos_FMI!$F$6+D388</f>
        <v>-2.99</v>
      </c>
      <c r="E389" s="37" t="n">
        <f aca="false">Datos_FMI!$G$6+E388</f>
        <v>-1.35</v>
      </c>
      <c r="F389" s="37" t="n">
        <f aca="false">Datos_FMI!$H$6+F388</f>
        <v>0.577765958276628</v>
      </c>
      <c r="G389" s="37" t="n">
        <f aca="false">Datos_FMI!$I$6+G388</f>
        <v>2.52453932731594</v>
      </c>
      <c r="H389" s="51" t="s">
        <v>114</v>
      </c>
    </row>
    <row r="390" customFormat="false" ht="15" hidden="false" customHeight="false" outlineLevel="0" collapsed="false">
      <c r="B390" s="21" t="s">
        <v>398</v>
      </c>
      <c r="C390" s="50" t="n">
        <v>0</v>
      </c>
      <c r="D390" s="37" t="n">
        <f aca="false">C390+D388</f>
        <v>0.01</v>
      </c>
      <c r="E390" s="37" t="n">
        <f aca="false">D390+E388</f>
        <v>0.16</v>
      </c>
      <c r="F390" s="37" t="n">
        <f aca="false">E390+F388</f>
        <v>0.237765958276628</v>
      </c>
      <c r="G390" s="37" t="n">
        <f aca="false">F390+G388</f>
        <v>0.262305285592573</v>
      </c>
      <c r="H390" s="51" t="s">
        <v>114</v>
      </c>
    </row>
    <row r="391" customFormat="false" ht="15" hidden="false" customHeight="false" outlineLevel="0" collapsed="false">
      <c r="B391" s="48" t="s">
        <v>399</v>
      </c>
      <c r="C391" s="49"/>
      <c r="D391" s="49"/>
      <c r="E391" s="49"/>
      <c r="F391" s="49"/>
      <c r="G391" s="49"/>
      <c r="H391" s="49"/>
    </row>
    <row r="392" customFormat="false" ht="15" hidden="false" customHeight="false" outlineLevel="0" collapsed="false">
      <c r="B392" s="21" t="s">
        <v>400</v>
      </c>
      <c r="C392" s="50" t="n">
        <v>0</v>
      </c>
      <c r="D392" s="37" t="n">
        <f aca="false">D383+auto*D388</f>
        <v>0.002</v>
      </c>
      <c r="E392" s="37" t="n">
        <f aca="false">E383+auto*E388</f>
        <v>-0.77</v>
      </c>
      <c r="F392" s="37" t="n">
        <f aca="false">F383+auto*F388</f>
        <v>-0.284446808344674</v>
      </c>
      <c r="G392" s="37" t="n">
        <f aca="false">G383+auto*G388</f>
        <v>0.00490786546318891</v>
      </c>
      <c r="H392" s="51" t="s">
        <v>254</v>
      </c>
    </row>
    <row r="393" customFormat="false" ht="15" hidden="false" customHeight="false" outlineLevel="0" collapsed="false">
      <c r="B393" s="21" t="s">
        <v>401</v>
      </c>
      <c r="C393" s="50" t="n">
        <f aca="false">Datos_FMI!$E$17+C392</f>
        <v>-8.8</v>
      </c>
      <c r="D393" s="37" t="n">
        <f aca="false">Datos_FMI!$F$17+D392</f>
        <v>-6.498</v>
      </c>
      <c r="E393" s="37" t="n">
        <f aca="false">Datos_FMI!$G$17+E392</f>
        <v>-3.77</v>
      </c>
      <c r="F393" s="37" t="n">
        <f aca="false">Datos_FMI!$H$17+F392</f>
        <v>-0.584446808344674</v>
      </c>
      <c r="G393" s="37" t="n">
        <f aca="false">Datos_FMI!$I$17+G392</f>
        <v>0.604907865463189</v>
      </c>
      <c r="H393" s="51" t="s">
        <v>122</v>
      </c>
    </row>
    <row r="394" customFormat="false" ht="15" hidden="false" customHeight="false" outlineLevel="0" collapsed="false">
      <c r="B394" s="21" t="s">
        <v>401</v>
      </c>
      <c r="C394" s="52" t="n">
        <f aca="false">Datos_FMI!$E$18+C392/100*Datos_FMI!$E$9</f>
        <v>-39587</v>
      </c>
      <c r="D394" s="34" t="n">
        <f aca="false">Datos_FMI!$F$18+D392/100*Datos_FMI!$F$9</f>
        <v>-32858.87218</v>
      </c>
      <c r="E394" s="34" t="n">
        <f aca="false">Datos_FMI!$G$18+E392/100*Datos_FMI!$G$9</f>
        <v>-21918.9023</v>
      </c>
      <c r="F394" s="34" t="n">
        <f aca="false">Datos_FMI!$H$18+F392/100*Datos_FMI!$H$9</f>
        <v>-3625.73850939594</v>
      </c>
      <c r="G394" s="34" t="n">
        <f aca="false">Datos_FMI!$I$18+G392/100*Datos_FMI!$I$9</f>
        <v>4100.87608864922</v>
      </c>
      <c r="H394" s="51" t="s">
        <v>119</v>
      </c>
    </row>
    <row r="395" customFormat="false" ht="15" hidden="false" customHeight="false" outlineLevel="0" collapsed="false">
      <c r="B395" s="21" t="s">
        <v>402</v>
      </c>
      <c r="C395" s="50" t="n">
        <v>0</v>
      </c>
      <c r="D395" s="37" t="n">
        <f aca="false">r_int*C414/Datos_FMI!$F$9*100</f>
        <v>0</v>
      </c>
      <c r="E395" s="37" t="n">
        <f aca="false">r_int*D414/Datos_FMI!$G$9*100</f>
        <v>-0.000113835282440398</v>
      </c>
      <c r="F395" s="37" t="n">
        <f aca="false">r_int*E414/Datos_FMI!$H$9*100</f>
        <v>0.0465427222034073</v>
      </c>
      <c r="G395" s="37" t="n">
        <f aca="false">r_int*F414/Datos_FMI!$I$9*100</f>
        <v>0.0622783560194162</v>
      </c>
      <c r="H395" s="51" t="s">
        <v>254</v>
      </c>
    </row>
    <row r="396" customFormat="false" ht="15" hidden="false" customHeight="false" outlineLevel="0" collapsed="false">
      <c r="B396" s="21" t="s">
        <v>403</v>
      </c>
      <c r="C396" s="50" t="n">
        <v>0</v>
      </c>
      <c r="D396" s="37" t="n">
        <f aca="false">D392-D395</f>
        <v>0.002</v>
      </c>
      <c r="E396" s="37" t="n">
        <f aca="false">E392-E395</f>
        <v>-0.76988616471756</v>
      </c>
      <c r="F396" s="37" t="n">
        <f aca="false">F392-F395</f>
        <v>-0.330989530548082</v>
      </c>
      <c r="G396" s="37" t="n">
        <f aca="false">G392-G395</f>
        <v>-0.0573704905562272</v>
      </c>
      <c r="H396" s="51" t="s">
        <v>254</v>
      </c>
    </row>
    <row r="397" customFormat="false" ht="15" hidden="false" customHeight="false" outlineLevel="0" collapsed="false">
      <c r="B397" s="21" t="s">
        <v>404</v>
      </c>
      <c r="C397" s="50" t="n">
        <f aca="false">Datos_FMI!$E$19+C396</f>
        <v>-11.4</v>
      </c>
      <c r="D397" s="37" t="n">
        <f aca="false">Datos_FMI!$F$19+D396</f>
        <v>-9.198</v>
      </c>
      <c r="E397" s="37" t="n">
        <f aca="false">Datos_FMI!$G$19+E396</f>
        <v>-7.46988616471756</v>
      </c>
      <c r="F397" s="37" t="n">
        <f aca="false">Datos_FMI!$H$19+F396</f>
        <v>-4.33098953054808</v>
      </c>
      <c r="G397" s="37" t="n">
        <f aca="false">Datos_FMI!$I$19+G396</f>
        <v>-3.25737049055623</v>
      </c>
      <c r="H397" s="51" t="s">
        <v>122</v>
      </c>
    </row>
    <row r="398" customFormat="false" ht="15" hidden="false" customHeight="false" outlineLevel="0" collapsed="false">
      <c r="B398" s="21" t="s">
        <v>405</v>
      </c>
      <c r="C398" s="52" t="n">
        <v>0</v>
      </c>
      <c r="D398" s="34" t="n">
        <f aca="false">-D396/100*Datos_FMI!$F$9</f>
        <v>-10.12782</v>
      </c>
      <c r="E398" s="34" t="n">
        <f aca="false">-E396/100*Datos_FMI!$G$9</f>
        <v>4452.2439917</v>
      </c>
      <c r="F398" s="34" t="n">
        <f aca="false">-F396/100*Datos_FMI!$H$9</f>
        <v>2053.36306055644</v>
      </c>
      <c r="G398" s="34" t="n">
        <f aca="false">-G396/100*Datos_FMI!$I$9</f>
        <v>388.934061447454</v>
      </c>
      <c r="H398" s="51" t="s">
        <v>119</v>
      </c>
    </row>
    <row r="399" customFormat="false" ht="15" hidden="false" customHeight="false" outlineLevel="0" collapsed="false">
      <c r="B399" s="21" t="s">
        <v>386</v>
      </c>
      <c r="C399" s="52" t="n">
        <v>0</v>
      </c>
      <c r="D399" s="34" t="n">
        <f aca="false">D378*D406</f>
        <v>0</v>
      </c>
      <c r="E399" s="34" t="n">
        <f aca="false">E378*E406</f>
        <v>2632.66313665348</v>
      </c>
      <c r="F399" s="34" t="n">
        <f aca="false">F378*F406</f>
        <v>1337.20870518832</v>
      </c>
      <c r="G399" s="34" t="n">
        <f aca="false">G378*G406</f>
        <v>0</v>
      </c>
      <c r="H399" s="51" t="s">
        <v>119</v>
      </c>
    </row>
    <row r="400" customFormat="false" ht="15" hidden="false" customHeight="false" outlineLevel="0" collapsed="false">
      <c r="B400" s="21" t="s">
        <v>406</v>
      </c>
      <c r="C400" s="52" t="n">
        <v>0</v>
      </c>
      <c r="D400" s="34" t="n">
        <f aca="false">MIN(cap_dom/100*Datos_FMI!$F$9,MAX(0,D398-D399))</f>
        <v>0</v>
      </c>
      <c r="E400" s="34" t="n">
        <f aca="false">MIN(cap_dom/100*Datos_FMI!$G$9,MAX(0,E398-E399))</f>
        <v>1819.58085504652</v>
      </c>
      <c r="F400" s="34" t="n">
        <f aca="false">MIN(cap_dom/100*Datos_FMI!$H$9,MAX(0,F398-F399))</f>
        <v>716.154355368118</v>
      </c>
      <c r="G400" s="34" t="n">
        <f aca="false">MIN(cap_dom/100*Datos_FMI!$I$9,MAX(0,G398-G399))</f>
        <v>388.934061447454</v>
      </c>
      <c r="H400" s="51" t="s">
        <v>119</v>
      </c>
    </row>
    <row r="401" customFormat="false" ht="15" hidden="false" customHeight="false" outlineLevel="0" collapsed="false">
      <c r="B401" s="21" t="s">
        <v>407</v>
      </c>
      <c r="C401" s="50" t="n">
        <v>0</v>
      </c>
      <c r="D401" s="37" t="n">
        <f aca="false">D400/Datos_FMI!$F$9*100</f>
        <v>0</v>
      </c>
      <c r="E401" s="37" t="n">
        <f aca="false">E400/Datos_FMI!$G$9*100</f>
        <v>0.314643610839119</v>
      </c>
      <c r="F401" s="37" t="n">
        <f aca="false">F400/Datos_FMI!$H$9*100</f>
        <v>0.115439689374281</v>
      </c>
      <c r="G401" s="37" t="n">
        <f aca="false">G400/Datos_FMI!$I$9*100</f>
        <v>0.0573704905562272</v>
      </c>
      <c r="H401" s="51" t="s">
        <v>254</v>
      </c>
    </row>
    <row r="402" customFormat="false" ht="15" hidden="false" customHeight="false" outlineLevel="0" collapsed="false">
      <c r="B402" s="21" t="s">
        <v>408</v>
      </c>
      <c r="C402" s="52" t="n">
        <v>0</v>
      </c>
      <c r="D402" s="34" t="n">
        <f aca="false">MAX(0,D398-D399-D400)</f>
        <v>0</v>
      </c>
      <c r="E402" s="34" t="n">
        <f aca="false">MAX(0,E398-E399-E400)</f>
        <v>0</v>
      </c>
      <c r="F402" s="34" t="n">
        <f aca="false">MAX(0,F398-F399-F400)</f>
        <v>0</v>
      </c>
      <c r="G402" s="34" t="n">
        <f aca="false">MAX(0,G398-G399-G400)</f>
        <v>0</v>
      </c>
      <c r="H402" s="51" t="s">
        <v>119</v>
      </c>
    </row>
    <row r="403" customFormat="false" ht="15" hidden="false" customHeight="false" outlineLevel="0" collapsed="false">
      <c r="B403" s="48" t="s">
        <v>409</v>
      </c>
      <c r="C403" s="49"/>
      <c r="D403" s="49"/>
      <c r="E403" s="49"/>
      <c r="F403" s="49"/>
      <c r="G403" s="49"/>
      <c r="H403" s="49"/>
    </row>
    <row r="404" customFormat="false" ht="15" hidden="false" customHeight="false" outlineLevel="0" collapsed="false">
      <c r="B404" s="21" t="s">
        <v>410</v>
      </c>
      <c r="C404" s="50" t="n">
        <v>0</v>
      </c>
      <c r="D404" s="37" t="n">
        <f aca="false">D377+bm_dep*D375</f>
        <v>0</v>
      </c>
      <c r="E404" s="37" t="n">
        <f aca="false">E377+bm_dep*E375</f>
        <v>0</v>
      </c>
      <c r="F404" s="37" t="n">
        <f aca="false">F377+bm_dep*F375</f>
        <v>0</v>
      </c>
      <c r="G404" s="37" t="n">
        <f aca="false">G377+bm_dep*G375</f>
        <v>0</v>
      </c>
      <c r="H404" s="51" t="s">
        <v>353</v>
      </c>
    </row>
    <row r="405" customFormat="false" ht="15" hidden="false" customHeight="false" outlineLevel="0" collapsed="false">
      <c r="B405" s="21" t="s">
        <v>411</v>
      </c>
      <c r="C405" s="50" t="n">
        <v>0</v>
      </c>
      <c r="D405" s="37" t="n">
        <f aca="false">C405+D404</f>
        <v>0</v>
      </c>
      <c r="E405" s="37" t="n">
        <f aca="false">D405+E404</f>
        <v>0</v>
      </c>
      <c r="F405" s="37" t="n">
        <f aca="false">E405+F404</f>
        <v>0</v>
      </c>
      <c r="G405" s="37" t="n">
        <f aca="false">F405+G404</f>
        <v>0</v>
      </c>
      <c r="H405" s="51" t="s">
        <v>114</v>
      </c>
    </row>
    <row r="406" customFormat="false" ht="15" hidden="false" customHeight="false" outlineLevel="0" collapsed="false">
      <c r="B406" s="21" t="s">
        <v>412</v>
      </c>
      <c r="C406" s="50" t="n">
        <f aca="false">12.8</f>
        <v>12.8</v>
      </c>
      <c r="D406" s="37" t="n">
        <f aca="false">Datos_FMI!$F$42*(1+D405/100)</f>
        <v>9.40463592699328</v>
      </c>
      <c r="E406" s="37" t="n">
        <f aca="false">Datos_FMI!$G$42*(1+E405/100)</f>
        <v>13.1633156832674</v>
      </c>
      <c r="F406" s="37" t="n">
        <f aca="false">Datos_FMI!$H$42*(1+F405/100)</f>
        <v>13.3720870518832</v>
      </c>
      <c r="G406" s="37" t="n">
        <f aca="false">Datos_FMI!$I$42*(1+G405/100)</f>
        <v>13.5683371794872</v>
      </c>
      <c r="H406" s="51" t="s">
        <v>168</v>
      </c>
    </row>
    <row r="407" customFormat="false" ht="15" hidden="false" customHeight="false" outlineLevel="0" collapsed="false">
      <c r="B407" s="21" t="s">
        <v>413</v>
      </c>
      <c r="C407" s="50" t="n">
        <v>0</v>
      </c>
      <c r="D407" s="37" t="n">
        <f aca="false">-phi_sub*(D370-C370)+mu_bm*(D375+D402/Datos_FMI!$F$34*100)+eta*D388+psi*D404+tax_pi*D372</f>
        <v>0.0025</v>
      </c>
      <c r="E407" s="37" t="n">
        <f aca="false">-phi_sub*(E370-D370)+mu_bm*(E375+E402/Datos_FMI!$G$34*100)+eta*E388+psi*E404+tax_pi*E372</f>
        <v>-0.9225</v>
      </c>
      <c r="F407" s="37" t="n">
        <f aca="false">-phi_sub*(F370-E370)+mu_bm*(F375+F402/Datos_FMI!$H$34*100)+eta*F388+psi*F404+tax_pi*F372</f>
        <v>0.619441489569157</v>
      </c>
      <c r="G407" s="37" t="n">
        <f aca="false">-phi_sub*(G370-F370)+mu_bm*(G375+G402/Datos_FMI!$I$34*100)+eta*G388+psi*G404+tax_pi*G372</f>
        <v>0.366134831828986</v>
      </c>
      <c r="H407" s="51" t="s">
        <v>353</v>
      </c>
    </row>
    <row r="408" customFormat="false" ht="15" hidden="false" customHeight="false" outlineLevel="0" collapsed="false">
      <c r="B408" s="21" t="s">
        <v>414</v>
      </c>
      <c r="C408" s="50" t="n">
        <f aca="false">Datos_FMI!$E$7+C407</f>
        <v>19.5</v>
      </c>
      <c r="D408" s="37" t="n">
        <f aca="false">Datos_FMI!$F$7+D407</f>
        <v>12.7025</v>
      </c>
      <c r="E408" s="37" t="n">
        <f aca="false">Datos_FMI!$G$7+E407</f>
        <v>14.8775</v>
      </c>
      <c r="F408" s="37" t="n">
        <f aca="false">Datos_FMI!$H$7+F407</f>
        <v>8.81944148956916</v>
      </c>
      <c r="G408" s="37" t="n">
        <f aca="false">Datos_FMI!$I$7+G407</f>
        <v>7.66613483182899</v>
      </c>
      <c r="H408" s="51" t="s">
        <v>114</v>
      </c>
    </row>
    <row r="409" customFormat="false" ht="15" hidden="false" customHeight="false" outlineLevel="0" collapsed="false">
      <c r="B409" s="21" t="s">
        <v>415</v>
      </c>
      <c r="C409" s="50" t="n">
        <f aca="false">Datos_FMI!$E$8+C407</f>
        <v>20.4</v>
      </c>
      <c r="D409" s="37" t="n">
        <f aca="false">Datos_FMI!$F$8+D407</f>
        <v>14.2025</v>
      </c>
      <c r="E409" s="37" t="n">
        <f aca="false">Datos_FMI!$G$8+E407</f>
        <v>9.7775</v>
      </c>
      <c r="F409" s="37" t="n">
        <f aca="false">Datos_FMI!$H$8+F407</f>
        <v>9.31944148956916</v>
      </c>
      <c r="G409" s="37" t="n">
        <f aca="false">Datos_FMI!$I$8+G407</f>
        <v>6.56613483182899</v>
      </c>
      <c r="H409" s="51" t="s">
        <v>114</v>
      </c>
    </row>
    <row r="410" customFormat="false" ht="15" hidden="false" customHeight="false" outlineLevel="0" collapsed="false">
      <c r="B410" s="21" t="s">
        <v>416</v>
      </c>
      <c r="C410" s="50" t="n">
        <v>0</v>
      </c>
      <c r="D410" s="37" t="n">
        <f aca="false">C410+D407</f>
        <v>0.0025</v>
      </c>
      <c r="E410" s="37" t="n">
        <f aca="false">D410+E407</f>
        <v>-0.92</v>
      </c>
      <c r="F410" s="37" t="n">
        <f aca="false">E410+F407</f>
        <v>-0.300558510430843</v>
      </c>
      <c r="G410" s="37" t="n">
        <f aca="false">F410+G407</f>
        <v>0.0655763213981431</v>
      </c>
      <c r="H410" s="51" t="s">
        <v>114</v>
      </c>
    </row>
    <row r="411" customFormat="false" ht="15" hidden="false" customHeight="false" outlineLevel="0" collapsed="false">
      <c r="B411" s="21" t="s">
        <v>417</v>
      </c>
      <c r="C411" s="52" t="n">
        <f aca="false">Datos_FMI!$E$9*(1+C390/100)*(1+C410/100)</f>
        <v>447553</v>
      </c>
      <c r="D411" s="34" t="n">
        <f aca="false">Datos_FMI!$F$9*(1+D390/100)*(1+D410/100)</f>
        <v>506454.300140977</v>
      </c>
      <c r="E411" s="34" t="n">
        <f aca="false">Datos_FMI!$G$9*(1+E390/100)*(1+E410/100)</f>
        <v>573895.41503872</v>
      </c>
      <c r="F411" s="34" t="n">
        <f aca="false">Datos_FMI!$H$9*(1+F390/100)*(1+F410/100)</f>
        <v>619977.019884914</v>
      </c>
      <c r="G411" s="34" t="n">
        <f aca="false">Datos_FMI!$I$9*(1+G390/100)*(1+G410/100)</f>
        <v>680157.987008875</v>
      </c>
      <c r="H411" s="51" t="s">
        <v>119</v>
      </c>
    </row>
    <row r="412" customFormat="false" ht="15" hidden="false" customHeight="false" outlineLevel="0" collapsed="false">
      <c r="B412" s="48" t="s">
        <v>418</v>
      </c>
      <c r="C412" s="49"/>
      <c r="D412" s="49"/>
      <c r="E412" s="49"/>
      <c r="F412" s="49"/>
      <c r="G412" s="49"/>
      <c r="H412" s="49"/>
    </row>
    <row r="413" customFormat="false" ht="15" hidden="false" customHeight="false" outlineLevel="0" collapsed="false">
      <c r="B413" s="21" t="s">
        <v>419</v>
      </c>
      <c r="C413" s="52" t="n">
        <v>0</v>
      </c>
      <c r="D413" s="34" t="n">
        <f aca="false">C413+D398</f>
        <v>-10.12782</v>
      </c>
      <c r="E413" s="34" t="n">
        <f aca="false">D413+E398</f>
        <v>4442.1161717</v>
      </c>
      <c r="F413" s="34" t="n">
        <f aca="false">E413+F398</f>
        <v>6495.47923225644</v>
      </c>
      <c r="G413" s="34" t="n">
        <f aca="false">F413+G398</f>
        <v>6884.41329370389</v>
      </c>
      <c r="H413" s="51" t="s">
        <v>119</v>
      </c>
    </row>
    <row r="414" customFormat="false" ht="15" hidden="false" customHeight="false" outlineLevel="0" collapsed="false">
      <c r="B414" s="21" t="s">
        <v>420</v>
      </c>
      <c r="C414" s="52" t="n">
        <v>0</v>
      </c>
      <c r="D414" s="34" t="n">
        <f aca="false">D413+Datos_FMI!$F$22*D405/100</f>
        <v>-10.12782</v>
      </c>
      <c r="E414" s="34" t="n">
        <f aca="false">E413+Datos_FMI!$G$22*E405/100</f>
        <v>4442.1161717</v>
      </c>
      <c r="F414" s="34" t="n">
        <f aca="false">F413+Datos_FMI!$H$22*F405/100</f>
        <v>6495.47923225644</v>
      </c>
      <c r="G414" s="34" t="n">
        <f aca="false">G413+Datos_FMI!$I$22*G405/100</f>
        <v>6884.41329370389</v>
      </c>
      <c r="H414" s="51" t="s">
        <v>119</v>
      </c>
    </row>
    <row r="415" customFormat="false" ht="15" hidden="false" customHeight="false" outlineLevel="0" collapsed="false">
      <c r="B415" s="21" t="s">
        <v>421</v>
      </c>
      <c r="C415" s="50" t="n">
        <f aca="false">(Datos_FMI!$E$21+C414)/C411*100</f>
        <v>83.3168362182803</v>
      </c>
      <c r="D415" s="37" t="n">
        <f aca="false">(Datos_FMI!$F$21+D414)/D411*100</f>
        <v>100.463135970683</v>
      </c>
      <c r="E415" s="37" t="n">
        <f aca="false">(Datos_FMI!$G$21+E414)/E411*100</f>
        <v>96.8669729020562</v>
      </c>
      <c r="F415" s="37" t="n">
        <f aca="false">(Datos_FMI!$H$21+F414)/F411*100</f>
        <v>94.2924431845513</v>
      </c>
      <c r="G415" s="37" t="n">
        <f aca="false">(Datos_FMI!$I$21+G414)/G411*100</f>
        <v>89.923874302122</v>
      </c>
      <c r="H415" s="51" t="s">
        <v>122</v>
      </c>
    </row>
    <row r="416" customFormat="false" ht="15" hidden="false" customHeight="false" outlineLevel="0" collapsed="false">
      <c r="B416" s="48" t="s">
        <v>422</v>
      </c>
      <c r="C416" s="49"/>
      <c r="D416" s="49"/>
      <c r="E416" s="49"/>
      <c r="F416" s="49"/>
      <c r="G416" s="49"/>
      <c r="H416" s="49"/>
    </row>
    <row r="417" customFormat="false" ht="15" hidden="false" customHeight="false" outlineLevel="0" collapsed="false">
      <c r="B417" s="21" t="s">
        <v>423</v>
      </c>
      <c r="C417" s="52" t="n">
        <v>0</v>
      </c>
      <c r="D417" s="34" t="n">
        <f aca="false">D378-D379-imp_el*D388/100*Datos_FMI!$F$24-sub_leak*D370/100*Datos_FMI!$F$41-bm_flight*D375-monet_leak*D402/D406</f>
        <v>-1.8738</v>
      </c>
      <c r="E417" s="34" t="n">
        <f aca="false">E378-E379-imp_el*E388/100*Datos_FMI!$G$24-sub_leak*E370/100*Datos_FMI!$G$41-bm_flight*E375-monet_leak*E402/E406</f>
        <v>66.6864521276596</v>
      </c>
      <c r="F417" s="34" t="n">
        <f aca="false">F378-F379-imp_el*F388/100*Datos_FMI!$H$24-sub_leak*F370/100*Datos_FMI!$H$41-bm_flight*F375-monet_leak*F402/F406</f>
        <v>42.82299328447</v>
      </c>
      <c r="G417" s="34" t="n">
        <f aca="false">G378-G379-imp_el*G388/100*Datos_FMI!$I$24-sub_leak*G370/100*Datos_FMI!$I$41-bm_flight*G375-monet_leak*G402/G406</f>
        <v>-5.16798233273792</v>
      </c>
      <c r="H417" s="51" t="s">
        <v>140</v>
      </c>
    </row>
    <row r="418" customFormat="false" ht="15" hidden="false" customHeight="false" outlineLevel="0" collapsed="false">
      <c r="B418" s="21" t="s">
        <v>424</v>
      </c>
      <c r="C418" s="52" t="n">
        <v>0</v>
      </c>
      <c r="D418" s="34" t="n">
        <f aca="false">C418+D417</f>
        <v>-1.8738</v>
      </c>
      <c r="E418" s="34" t="n">
        <f aca="false">D418+E417</f>
        <v>64.8126521276596</v>
      </c>
      <c r="F418" s="34" t="n">
        <f aca="false">E418+F417</f>
        <v>107.63564541213</v>
      </c>
      <c r="G418" s="34" t="n">
        <f aca="false">F418+G417</f>
        <v>102.467663079392</v>
      </c>
      <c r="H418" s="51" t="s">
        <v>140</v>
      </c>
    </row>
    <row r="419" customFormat="false" ht="15" hidden="false" customHeight="false" outlineLevel="0" collapsed="false">
      <c r="B419" s="21" t="s">
        <v>425</v>
      </c>
      <c r="C419" s="52" t="n">
        <f aca="false">Datos_FMI!$E$31+C418</f>
        <v>-2990</v>
      </c>
      <c r="D419" s="34" t="n">
        <f aca="false">Datos_FMI!$F$31+D418</f>
        <v>-582.8738</v>
      </c>
      <c r="E419" s="34" t="n">
        <f aca="false">Datos_FMI!$G$31+E418</f>
        <v>808.81265212766</v>
      </c>
      <c r="F419" s="34" t="n">
        <f aca="false">Datos_FMI!$H$31+F418</f>
        <v>1411.63564541213</v>
      </c>
      <c r="G419" s="34" t="n">
        <f aca="false">Datos_FMI!$I$31+G418</f>
        <v>1980.46766307939</v>
      </c>
      <c r="H419" s="51" t="s">
        <v>140</v>
      </c>
    </row>
    <row r="420" customFormat="false" ht="15" hidden="false" customHeight="false" outlineLevel="0" collapsed="false">
      <c r="B420" s="21" t="s">
        <v>426</v>
      </c>
      <c r="C420" s="52" t="n">
        <f aca="false">Datos_FMI!$E$28+C418</f>
        <v>627</v>
      </c>
      <c r="D420" s="34" t="n">
        <f aca="false">Datos_FMI!$F$28+D418</f>
        <v>2456.1262</v>
      </c>
      <c r="E420" s="34" t="n">
        <f aca="false">Datos_FMI!$G$28+E418</f>
        <v>4046.81265212766</v>
      </c>
      <c r="F420" s="34" t="n">
        <f aca="false">Datos_FMI!$H$28+F418</f>
        <v>4797.63564541213</v>
      </c>
      <c r="G420" s="34" t="n">
        <f aca="false">Datos_FMI!$I$28+G418</f>
        <v>5629.46766307939</v>
      </c>
      <c r="H420" s="51" t="s">
        <v>140</v>
      </c>
    </row>
    <row r="421" customFormat="false" ht="15" hidden="false" customHeight="false" outlineLevel="0" collapsed="false">
      <c r="B421" s="21" t="s">
        <v>427</v>
      </c>
      <c r="C421" s="50" t="n">
        <f aca="false">Datos_FMI!$E$29*C420/Datos_FMI!$E$28</f>
        <v>10.9</v>
      </c>
      <c r="D421" s="37" t="n">
        <f aca="false">Datos_FMI!$F$29*D420/Datos_FMI!$F$28</f>
        <v>53.3592917331164</v>
      </c>
      <c r="E421" s="37" t="n">
        <f aca="false">Datos_FMI!$G$29*E420/Datos_FMI!$G$28</f>
        <v>87.5013986308869</v>
      </c>
      <c r="F421" s="37" t="n">
        <f aca="false">Datos_FMI!$H$29*F420/Datos_FMI!$H$28</f>
        <v>102.397298103572</v>
      </c>
      <c r="G421" s="37" t="n">
        <f aca="false">Datos_FMI!$I$29*G420/Datos_FMI!$I$28</f>
        <v>114.381982732733</v>
      </c>
      <c r="H421" s="51" t="s">
        <v>114</v>
      </c>
    </row>
    <row r="422" customFormat="false" ht="15" hidden="false" customHeight="false" outlineLevel="0" collapsed="false">
      <c r="B422" s="48" t="s">
        <v>428</v>
      </c>
      <c r="C422" s="49"/>
      <c r="D422" s="49"/>
      <c r="E422" s="49"/>
      <c r="F422" s="49"/>
      <c r="G422" s="49"/>
      <c r="H422" s="49"/>
    </row>
    <row r="423" customFormat="false" ht="15" hidden="false" customHeight="false" outlineLevel="0" collapsed="false">
      <c r="B423" s="21" t="s">
        <v>429</v>
      </c>
      <c r="C423" s="50" t="n">
        <f aca="false">Datos_FMI!$E$32+C385</f>
        <v>3.1</v>
      </c>
      <c r="D423" s="37" t="n">
        <f aca="false">Datos_FMI!$F$32+D385</f>
        <v>4</v>
      </c>
      <c r="E423" s="37" t="n">
        <f aca="false">Datos_FMI!$G$32+E385</f>
        <v>7.3</v>
      </c>
      <c r="F423" s="37" t="n">
        <f aca="false">Datos_FMI!$H$32+F385</f>
        <v>6.94804965230524</v>
      </c>
      <c r="G423" s="37" t="n">
        <f aca="false">Datos_FMI!$I$32+G385</f>
        <v>9.37116106096621</v>
      </c>
      <c r="H423" s="51" t="s">
        <v>114</v>
      </c>
    </row>
    <row r="424" customFormat="false" ht="15" hidden="false" customHeight="false" outlineLevel="0" collapsed="false">
      <c r="B424" s="21" t="s">
        <v>430</v>
      </c>
      <c r="C424" s="50" t="n">
        <v>0</v>
      </c>
      <c r="D424" s="37" t="n">
        <f aca="false">C424+D375</f>
        <v>0</v>
      </c>
      <c r="E424" s="37" t="n">
        <f aca="false">D424+E375</f>
        <v>0</v>
      </c>
      <c r="F424" s="37" t="n">
        <f aca="false">E424+F375</f>
        <v>0</v>
      </c>
      <c r="G424" s="37" t="n">
        <f aca="false">F424+G375</f>
        <v>0</v>
      </c>
      <c r="H424" s="51" t="s">
        <v>114</v>
      </c>
    </row>
    <row r="425" customFormat="false" ht="15" hidden="false" customHeight="false" outlineLevel="0" collapsed="false">
      <c r="B425" s="21" t="s">
        <v>431</v>
      </c>
      <c r="C425" s="52" t="n">
        <v>0</v>
      </c>
      <c r="D425" s="34" t="n">
        <f aca="false">C425+D402</f>
        <v>0</v>
      </c>
      <c r="E425" s="34" t="n">
        <f aca="false">D425+E402</f>
        <v>0</v>
      </c>
      <c r="F425" s="34" t="n">
        <f aca="false">E425+F402</f>
        <v>0</v>
      </c>
      <c r="G425" s="34" t="n">
        <f aca="false">F425+G402</f>
        <v>0</v>
      </c>
      <c r="H425" s="51" t="s">
        <v>119</v>
      </c>
    </row>
    <row r="426" customFormat="false" ht="15" hidden="false" customHeight="false" outlineLevel="0" collapsed="false">
      <c r="B426" s="21" t="s">
        <v>432</v>
      </c>
      <c r="C426" s="52" t="n">
        <f aca="false">Datos_FMI!$E$34</f>
        <v>132269</v>
      </c>
      <c r="D426" s="34" t="n">
        <f aca="false">meta_bm*(1+D424/100)+D425</f>
        <v>133900</v>
      </c>
      <c r="E426" s="34" t="n">
        <f aca="false">Datos_FMI!$G$34*(1+E424/100)+E425</f>
        <v>148333</v>
      </c>
      <c r="F426" s="34" t="n">
        <f aca="false">Datos_FMI!$H$34*(1+F424/100)+F425</f>
        <v>161304</v>
      </c>
      <c r="G426" s="34" t="n">
        <f aca="false">Datos_FMI!$I$34*(1+G424/100)+G425</f>
        <v>177013</v>
      </c>
      <c r="H426" s="51" t="s">
        <v>119</v>
      </c>
    </row>
    <row r="427" customFormat="false" ht="15" hidden="false" customHeight="false" outlineLevel="0" collapsed="false">
      <c r="B427" s="48" t="s">
        <v>433</v>
      </c>
      <c r="C427" s="49"/>
      <c r="D427" s="49"/>
      <c r="E427" s="49"/>
      <c r="F427" s="49"/>
      <c r="G427" s="49"/>
      <c r="H427" s="49"/>
    </row>
    <row r="428" customFormat="false" ht="15" hidden="false" customHeight="false" outlineLevel="0" collapsed="false">
      <c r="B428" s="21" t="s">
        <v>434</v>
      </c>
      <c r="C428" s="52" t="n">
        <f aca="false">Datos_FMI!$E$14+C371/100*Datos_FMI!$E$9</f>
        <v>5525</v>
      </c>
      <c r="D428" s="34" t="n">
        <f aca="false">Datos_FMI!$F$14+D371/100*Datos_FMI!$F$9</f>
        <v>11143.1955</v>
      </c>
      <c r="E428" s="34" t="n">
        <f aca="false">Datos_FMI!$G$14+E371/100*Datos_FMI!$G$9</f>
        <v>15035.774</v>
      </c>
      <c r="F428" s="34" t="n">
        <f aca="false">Datos_FMI!$H$14+F371/100*Datos_FMI!$H$9</f>
        <v>9925.936</v>
      </c>
      <c r="G428" s="34" t="n">
        <f aca="false">Datos_FMI!$I$14+G371/100*Datos_FMI!$I$9</f>
        <v>10169.01</v>
      </c>
      <c r="H428" s="51" t="s">
        <v>119</v>
      </c>
    </row>
    <row r="429" customFormat="false" ht="15" hidden="false" customHeight="false" outlineLevel="0" collapsed="false">
      <c r="B429" s="21" t="s">
        <v>435</v>
      </c>
      <c r="C429" s="52" t="n">
        <v>0</v>
      </c>
      <c r="D429" s="34" t="n">
        <f aca="false">emp_el*D390/100*pea</f>
        <v>0.32</v>
      </c>
      <c r="E429" s="34" t="n">
        <f aca="false">emp_el*E390/100*pea</f>
        <v>5.12</v>
      </c>
      <c r="F429" s="34" t="n">
        <f aca="false">emp_el*F390/100*pea</f>
        <v>7.6085106648521</v>
      </c>
      <c r="G429" s="34" t="n">
        <f aca="false">emp_el*G390/100*pea</f>
        <v>8.39376913896233</v>
      </c>
      <c r="H429" s="51" t="s">
        <v>315</v>
      </c>
    </row>
    <row r="430" customFormat="false" ht="15" hidden="false" customHeight="false" outlineLevel="0" collapsed="false">
      <c r="B430" s="21" t="s">
        <v>436</v>
      </c>
      <c r="C430" s="50" t="n">
        <v>0</v>
      </c>
      <c r="D430" s="37" t="n">
        <f aca="false">-pov_g*D390-pov_soc*D371+pov_pi*D407-pov_sub*D370</f>
        <v>-0.106625</v>
      </c>
      <c r="E430" s="37" t="n">
        <f aca="false">-pov_g*E390-pov_soc*E371+pov_pi*E407-pov_sub*E370</f>
        <v>-1.290375</v>
      </c>
      <c r="F430" s="37" t="n">
        <f aca="false">-pov_g*F390-pov_soc*F371+pov_pi*F407-pov_sub*F370</f>
        <v>-0.763519947358266</v>
      </c>
      <c r="G430" s="37" t="n">
        <f aca="false">-pov_g*G390-pov_soc*G371+pov_pi*G407-pov_sub*G370</f>
        <v>-0.528693475140453</v>
      </c>
      <c r="H430" s="51" t="s">
        <v>353</v>
      </c>
    </row>
    <row r="431" customFormat="false" ht="15" hidden="false" customHeight="false" outlineLevel="0" collapsed="false">
      <c r="B431" s="21" t="s">
        <v>437</v>
      </c>
      <c r="C431" s="50" t="n">
        <v>0</v>
      </c>
      <c r="D431" s="37" t="n">
        <f aca="false">-gini_tpr*D373-gini_soc*D371</f>
        <v>-0.02</v>
      </c>
      <c r="E431" s="37" t="n">
        <f aca="false">-gini_tpr*E373-gini_soc*E371</f>
        <v>-0.16</v>
      </c>
      <c r="F431" s="37" t="n">
        <f aca="false">-gini_tpr*F373-gini_soc*F371</f>
        <v>-0.12</v>
      </c>
      <c r="G431" s="37" t="n">
        <f aca="false">-gini_tpr*G373-gini_soc*G371</f>
        <v>-0.08</v>
      </c>
      <c r="H431" s="51" t="s">
        <v>438</v>
      </c>
    </row>
    <row r="437" customFormat="false" ht="15" hidden="false" customHeight="false" outlineLevel="0" collapsed="false">
      <c r="B437" s="46" t="s">
        <v>370</v>
      </c>
      <c r="C437" s="47"/>
      <c r="D437" s="47"/>
      <c r="E437" s="47"/>
      <c r="F437" s="47"/>
      <c r="G437" s="47"/>
      <c r="H437" s="47"/>
    </row>
    <row r="438" customFormat="false" ht="15" hidden="false" customHeight="false" outlineLevel="0" collapsed="false">
      <c r="B438" s="11" t="s">
        <v>374</v>
      </c>
      <c r="C438" s="11" t="s">
        <v>109</v>
      </c>
      <c r="D438" s="11" t="s">
        <v>99</v>
      </c>
      <c r="E438" s="11" t="s">
        <v>100</v>
      </c>
      <c r="F438" s="11" t="s">
        <v>101</v>
      </c>
      <c r="G438" s="11" t="s">
        <v>102</v>
      </c>
      <c r="H438" s="11" t="s">
        <v>107</v>
      </c>
    </row>
    <row r="439" customFormat="false" ht="15" hidden="false" customHeight="false" outlineLevel="0" collapsed="false">
      <c r="B439" s="48" t="s">
        <v>375</v>
      </c>
      <c r="C439" s="49"/>
      <c r="D439" s="49"/>
      <c r="E439" s="49"/>
      <c r="F439" s="49"/>
      <c r="G439" s="49"/>
      <c r="H439" s="49"/>
    </row>
    <row r="440" customFormat="false" ht="15" hidden="false" customHeight="false" outlineLevel="0" collapsed="false">
      <c r="B440" s="21" t="s">
        <v>376</v>
      </c>
      <c r="C440" s="50" t="n">
        <v>0</v>
      </c>
      <c r="D440" s="16" t="n">
        <f aca="false">Palancas!D116*ef26</f>
        <v>0</v>
      </c>
      <c r="E440" s="16" t="n">
        <f aca="false">Palancas!E116*1</f>
        <v>0.6</v>
      </c>
      <c r="F440" s="16" t="n">
        <f aca="false">Palancas!F116*1</f>
        <v>0.6</v>
      </c>
      <c r="G440" s="16" t="n">
        <f aca="false">Palancas!G116*1</f>
        <v>0.4</v>
      </c>
      <c r="H440" s="51" t="s">
        <v>254</v>
      </c>
    </row>
    <row r="441" customFormat="false" ht="15" hidden="false" customHeight="false" outlineLevel="0" collapsed="false">
      <c r="B441" s="21" t="s">
        <v>377</v>
      </c>
      <c r="C441" s="50" t="n">
        <v>0</v>
      </c>
      <c r="D441" s="16" t="n">
        <f aca="false">Palancas!D117*ef26</f>
        <v>0</v>
      </c>
      <c r="E441" s="16" t="n">
        <f aca="false">Palancas!E117*1</f>
        <v>-0.4</v>
      </c>
      <c r="F441" s="16" t="n">
        <f aca="false">Palancas!F117*1</f>
        <v>-0.5</v>
      </c>
      <c r="G441" s="16" t="n">
        <f aca="false">Palancas!G117*1</f>
        <v>-0.4</v>
      </c>
      <c r="H441" s="51" t="s">
        <v>254</v>
      </c>
    </row>
    <row r="442" customFormat="false" ht="15" hidden="false" customHeight="false" outlineLevel="0" collapsed="false">
      <c r="B442" s="21" t="s">
        <v>378</v>
      </c>
      <c r="C442" s="50" t="n">
        <v>0</v>
      </c>
      <c r="D442" s="16" t="n">
        <f aca="false">Palancas!D118*ef26</f>
        <v>0</v>
      </c>
      <c r="E442" s="16" t="n">
        <f aca="false">Palancas!E118*1</f>
        <v>0.2</v>
      </c>
      <c r="F442" s="16" t="n">
        <f aca="false">Palancas!F118*1</f>
        <v>0</v>
      </c>
      <c r="G442" s="16" t="n">
        <f aca="false">Palancas!G118*1</f>
        <v>0</v>
      </c>
      <c r="H442" s="51" t="s">
        <v>254</v>
      </c>
    </row>
    <row r="443" customFormat="false" ht="15" hidden="false" customHeight="false" outlineLevel="0" collapsed="false">
      <c r="B443" s="21" t="s">
        <v>379</v>
      </c>
      <c r="C443" s="50" t="n">
        <v>0</v>
      </c>
      <c r="D443" s="16" t="n">
        <f aca="false">Palancas!D119*ef26</f>
        <v>0</v>
      </c>
      <c r="E443" s="16" t="n">
        <f aca="false">Palancas!E119*1</f>
        <v>0.25</v>
      </c>
      <c r="F443" s="16" t="n">
        <f aca="false">Palancas!F119*1</f>
        <v>0.2</v>
      </c>
      <c r="G443" s="16" t="n">
        <f aca="false">Palancas!G119*1</f>
        <v>0.15</v>
      </c>
      <c r="H443" s="51" t="s">
        <v>254</v>
      </c>
    </row>
    <row r="444" customFormat="false" ht="15" hidden="false" customHeight="false" outlineLevel="0" collapsed="false">
      <c r="B444" s="21" t="s">
        <v>380</v>
      </c>
      <c r="C444" s="50" t="n">
        <v>0</v>
      </c>
      <c r="D444" s="16" t="n">
        <f aca="false">Palancas!D120*ef26*r_tev</f>
        <v>0.0175</v>
      </c>
      <c r="E444" s="16" t="n">
        <f aca="false">Palancas!E120*1*r_tev</f>
        <v>0.28</v>
      </c>
      <c r="F444" s="16" t="n">
        <f aca="false">Palancas!F120*1*r_tev</f>
        <v>0.42</v>
      </c>
      <c r="G444" s="16" t="n">
        <f aca="false">Palancas!G120*1*r_tev</f>
        <v>0.56</v>
      </c>
      <c r="H444" s="51" t="s">
        <v>254</v>
      </c>
    </row>
    <row r="445" customFormat="false" ht="15" hidden="false" customHeight="false" outlineLevel="0" collapsed="false">
      <c r="B445" s="21" t="s">
        <v>381</v>
      </c>
      <c r="C445" s="50" t="n">
        <v>0</v>
      </c>
      <c r="D445" s="16" t="n">
        <f aca="false">Palancas!D121*ef26*r_tpr</f>
        <v>0</v>
      </c>
      <c r="E445" s="16" t="n">
        <f aca="false">Palancas!E121*1*r_tpr</f>
        <v>0.09</v>
      </c>
      <c r="F445" s="16" t="n">
        <f aca="false">Palancas!F121*1*r_tpr</f>
        <v>0.18</v>
      </c>
      <c r="G445" s="16" t="n">
        <f aca="false">Palancas!G121*1*r_tpr</f>
        <v>0.24</v>
      </c>
      <c r="H445" s="51" t="s">
        <v>254</v>
      </c>
    </row>
    <row r="446" customFormat="false" ht="15" hidden="false" customHeight="false" outlineLevel="0" collapsed="false">
      <c r="B446" s="21" t="s">
        <v>382</v>
      </c>
      <c r="C446" s="50" t="n">
        <v>0</v>
      </c>
      <c r="D446" s="16" t="n">
        <f aca="false">Palancas!D122*ef26*r_tex</f>
        <v>0</v>
      </c>
      <c r="E446" s="16" t="n">
        <f aca="false">Palancas!E122*1*r_tex</f>
        <v>0.255</v>
      </c>
      <c r="F446" s="16" t="n">
        <f aca="false">Palancas!F122*1*r_tex</f>
        <v>0.34</v>
      </c>
      <c r="G446" s="16" t="n">
        <f aca="false">Palancas!G122*1*r_tex</f>
        <v>0.34</v>
      </c>
      <c r="H446" s="51" t="s">
        <v>254</v>
      </c>
    </row>
    <row r="447" customFormat="false" ht="15" hidden="false" customHeight="false" outlineLevel="0" collapsed="false">
      <c r="B447" s="21" t="s">
        <v>383</v>
      </c>
      <c r="C447" s="50" t="n">
        <v>0</v>
      </c>
      <c r="D447" s="16" t="n">
        <f aca="false">Palancas!D123*ef26</f>
        <v>0</v>
      </c>
      <c r="E447" s="16" t="n">
        <f aca="false">Palancas!E123*1</f>
        <v>0.5</v>
      </c>
      <c r="F447" s="16" t="n">
        <f aca="false">Palancas!F123*1</f>
        <v>0</v>
      </c>
      <c r="G447" s="16" t="n">
        <f aca="false">Palancas!G123*1</f>
        <v>0</v>
      </c>
      <c r="H447" s="51" t="s">
        <v>353</v>
      </c>
    </row>
    <row r="448" customFormat="false" ht="15" hidden="false" customHeight="false" outlineLevel="0" collapsed="false">
      <c r="B448" s="21" t="s">
        <v>384</v>
      </c>
      <c r="C448" s="50" t="n">
        <v>0</v>
      </c>
      <c r="D448" s="16" t="n">
        <f aca="false">Palancas!D124*ef26</f>
        <v>0.25</v>
      </c>
      <c r="E448" s="16" t="n">
        <f aca="false">Palancas!E124*1</f>
        <v>3</v>
      </c>
      <c r="F448" s="16" t="n">
        <f aca="false">Palancas!F124*1</f>
        <v>3</v>
      </c>
      <c r="G448" s="16" t="n">
        <f aca="false">Palancas!G124*1</f>
        <v>2</v>
      </c>
      <c r="H448" s="51" t="s">
        <v>353</v>
      </c>
    </row>
    <row r="449" customFormat="false" ht="15" hidden="false" customHeight="false" outlineLevel="0" collapsed="false">
      <c r="B449" s="21" t="s">
        <v>385</v>
      </c>
      <c r="C449" s="50" t="n">
        <v>0</v>
      </c>
      <c r="D449" s="16" t="n">
        <f aca="false">Palancas!D125*ef26</f>
        <v>0</v>
      </c>
      <c r="E449" s="16" t="n">
        <f aca="false">Palancas!E125*1</f>
        <v>-1</v>
      </c>
      <c r="F449" s="16" t="n">
        <f aca="false">Palancas!F125*1</f>
        <v>-1</v>
      </c>
      <c r="G449" s="16" t="n">
        <f aca="false">Palancas!G125*1</f>
        <v>-0.5</v>
      </c>
      <c r="H449" s="51" t="s">
        <v>353</v>
      </c>
    </row>
    <row r="450" customFormat="false" ht="15" hidden="false" customHeight="false" outlineLevel="0" collapsed="false">
      <c r="B450" s="21" t="s">
        <v>386</v>
      </c>
      <c r="C450" s="52" t="n">
        <v>0</v>
      </c>
      <c r="D450" s="14" t="n">
        <f aca="false">Palancas!D126</f>
        <v>0</v>
      </c>
      <c r="E450" s="14" t="n">
        <f aca="false">Palancas!E126</f>
        <v>300</v>
      </c>
      <c r="F450" s="14" t="n">
        <f aca="false">Palancas!F126</f>
        <v>300</v>
      </c>
      <c r="G450" s="14" t="n">
        <f aca="false">Palancas!G126</f>
        <v>100</v>
      </c>
      <c r="H450" s="51" t="s">
        <v>140</v>
      </c>
    </row>
    <row r="451" customFormat="false" ht="15" hidden="false" customHeight="false" outlineLevel="0" collapsed="false">
      <c r="B451" s="21" t="s">
        <v>387</v>
      </c>
      <c r="C451" s="52" t="n">
        <v>0</v>
      </c>
      <c r="D451" s="14" t="n">
        <f aca="false">Palancas!D127</f>
        <v>0</v>
      </c>
      <c r="E451" s="14" t="n">
        <f aca="false">Palancas!E127</f>
        <v>150</v>
      </c>
      <c r="F451" s="14" t="n">
        <f aca="false">Palancas!F127</f>
        <v>150</v>
      </c>
      <c r="G451" s="14" t="n">
        <f aca="false">Palancas!G127</f>
        <v>100</v>
      </c>
      <c r="H451" s="51" t="s">
        <v>140</v>
      </c>
    </row>
    <row r="452" customFormat="false" ht="15" hidden="false" customHeight="false" outlineLevel="0" collapsed="false">
      <c r="B452" s="48" t="s">
        <v>388</v>
      </c>
      <c r="C452" s="49"/>
      <c r="D452" s="49"/>
      <c r="E452" s="49"/>
      <c r="F452" s="49"/>
      <c r="G452" s="49"/>
      <c r="H452" s="49"/>
    </row>
    <row r="453" customFormat="false" ht="15" hidden="false" customHeight="false" outlineLevel="0" collapsed="false">
      <c r="B453" s="21" t="s">
        <v>389</v>
      </c>
      <c r="C453" s="50" t="n">
        <f aca="false">C440+C441+C442+C443</f>
        <v>0</v>
      </c>
      <c r="D453" s="37" t="n">
        <f aca="false">D440+D441+D442+D443</f>
        <v>0</v>
      </c>
      <c r="E453" s="37" t="n">
        <f aca="false">E440+E441+E442+E443</f>
        <v>0.65</v>
      </c>
      <c r="F453" s="37" t="n">
        <f aca="false">F440+F441+F442+F443</f>
        <v>0.3</v>
      </c>
      <c r="G453" s="37" t="n">
        <f aca="false">G440+G441+G442+G443</f>
        <v>0.15</v>
      </c>
      <c r="H453" s="51" t="s">
        <v>254</v>
      </c>
    </row>
    <row r="454" customFormat="false" ht="15" hidden="false" customHeight="false" outlineLevel="0" collapsed="false">
      <c r="B454" s="21" t="s">
        <v>390</v>
      </c>
      <c r="C454" s="50" t="n">
        <f aca="false">C444+C445+C446</f>
        <v>0</v>
      </c>
      <c r="D454" s="37" t="n">
        <f aca="false">D444+D445+D446</f>
        <v>0.0175</v>
      </c>
      <c r="E454" s="37" t="n">
        <f aca="false">E444+E445+E446</f>
        <v>0.625</v>
      </c>
      <c r="F454" s="37" t="n">
        <f aca="false">F444+F445+F446</f>
        <v>0.94</v>
      </c>
      <c r="G454" s="37" t="n">
        <f aca="false">G444+G445+G446</f>
        <v>1.14</v>
      </c>
      <c r="H454" s="51" t="s">
        <v>254</v>
      </c>
    </row>
    <row r="455" customFormat="false" ht="15" hidden="false" customHeight="false" outlineLevel="0" collapsed="false">
      <c r="B455" s="21" t="s">
        <v>391</v>
      </c>
      <c r="C455" s="50" t="n">
        <f aca="false">C454-C453</f>
        <v>0</v>
      </c>
      <c r="D455" s="37" t="n">
        <f aca="false">D454-D453</f>
        <v>0.0175</v>
      </c>
      <c r="E455" s="37" t="n">
        <f aca="false">E454-E453</f>
        <v>-0.0249999999999999</v>
      </c>
      <c r="F455" s="37" t="n">
        <f aca="false">F454-F453</f>
        <v>0.64</v>
      </c>
      <c r="G455" s="37" t="n">
        <f aca="false">G454-G453</f>
        <v>0.99</v>
      </c>
      <c r="H455" s="51" t="s">
        <v>254</v>
      </c>
    </row>
    <row r="456" customFormat="false" ht="15" hidden="false" customHeight="false" outlineLevel="0" collapsed="false">
      <c r="B456" s="48" t="s">
        <v>392</v>
      </c>
      <c r="C456" s="49"/>
      <c r="D456" s="49"/>
      <c r="E456" s="49"/>
      <c r="F456" s="49"/>
      <c r="G456" s="49"/>
      <c r="H456" s="49"/>
    </row>
    <row r="457" customFormat="false" ht="15" hidden="false" customHeight="false" outlineLevel="0" collapsed="false">
      <c r="B457" s="21" t="s">
        <v>393</v>
      </c>
      <c r="C457" s="50" t="n">
        <v>0</v>
      </c>
      <c r="D457" s="37" t="n">
        <f aca="false">D448+bm_cred*D447-crowd*C473/(Datos_FMI!$F$33/100)</f>
        <v>0.25</v>
      </c>
      <c r="E457" s="37" t="n">
        <f aca="false">E448+bm_cred*E447-crowd*D473/(Datos_FMI!$G$33/100)</f>
        <v>3.25</v>
      </c>
      <c r="F457" s="37" t="n">
        <f aca="false">F448+bm_cred*F447-crowd*E473/(Datos_FMI!$H$33/100)</f>
        <v>3</v>
      </c>
      <c r="G457" s="37" t="n">
        <f aca="false">G448+bm_cred*G447-crowd*F473/(Datos_FMI!$I$33/100)</f>
        <v>2</v>
      </c>
      <c r="H457" s="51" t="s">
        <v>353</v>
      </c>
    </row>
    <row r="458" customFormat="false" ht="15" hidden="false" customHeight="false" outlineLevel="0" collapsed="false">
      <c r="B458" s="21" t="s">
        <v>394</v>
      </c>
      <c r="C458" s="50" t="n">
        <v>0</v>
      </c>
      <c r="D458" s="37" t="n">
        <f aca="false">C458+D440</f>
        <v>0</v>
      </c>
      <c r="E458" s="37" t="n">
        <f aca="false">D458+E440</f>
        <v>0.6</v>
      </c>
      <c r="F458" s="37" t="n">
        <f aca="false">E458+F440</f>
        <v>1.2</v>
      </c>
      <c r="G458" s="37" t="n">
        <f aca="false">F458+G440</f>
        <v>1.6</v>
      </c>
      <c r="H458" s="51" t="s">
        <v>254</v>
      </c>
    </row>
    <row r="459" customFormat="false" ht="15" hidden="false" customHeight="false" outlineLevel="0" collapsed="false">
      <c r="B459" s="21" t="s">
        <v>395</v>
      </c>
      <c r="C459" s="50" t="n">
        <v>0</v>
      </c>
      <c r="D459" s="37" t="n">
        <f aca="false">kappa*MAX(0,-D455-tol)</f>
        <v>0</v>
      </c>
      <c r="E459" s="37" t="n">
        <f aca="false">kappa*MAX(0,-E455-tol)</f>
        <v>0</v>
      </c>
      <c r="F459" s="37" t="n">
        <f aca="false">kappa*MAX(0,-F455-tol)</f>
        <v>0</v>
      </c>
      <c r="G459" s="37" t="n">
        <f aca="false">kappa*MAX(0,-G455-tol)</f>
        <v>0</v>
      </c>
      <c r="H459" s="51" t="s">
        <v>353</v>
      </c>
    </row>
    <row r="460" customFormat="false" ht="15" hidden="false" customHeight="false" outlineLevel="0" collapsed="false">
      <c r="B460" s="21" t="s">
        <v>396</v>
      </c>
      <c r="C460" s="50" t="n">
        <v>0</v>
      </c>
      <c r="D460" s="37" t="n">
        <f aca="false">m_inv*D440+m_cur*D441+m_sub*D442+m_soc*D443-(m_tev*D444+m_tpr*D445+m_tex*D446)+eps_cred*D457+s_inv*C458+nu_dep*D449-D459</f>
        <v>0.02825</v>
      </c>
      <c r="E460" s="37" t="n">
        <f aca="false">m_inv*E440+m_cur*E441+m_sub*E442+m_soc*E443-(m_tev*E444+m_tpr*E445+m_tex*E446)+eps_cred*E457+s_inv*D458+nu_dep*E449-E459</f>
        <v>0.692</v>
      </c>
      <c r="F460" s="37" t="n">
        <f aca="false">m_inv*F440+m_cur*F441+m_sub*F442+m_soc*F443-(m_tev*F444+m_tpr*F445+m_tex*F446)+eps_cred*F457+s_inv*E458+nu_dep*F449-F459</f>
        <v>0.559</v>
      </c>
      <c r="G460" s="37" t="n">
        <f aca="false">m_inv*G440+m_cur*G441+m_sub*G442+m_soc*G443-(m_tev*G444+m_tpr*G445+m_tex*G446)+eps_cred*G457+s_inv*F458+nu_dep*G449-G459</f>
        <v>0.361</v>
      </c>
      <c r="H460" s="51" t="s">
        <v>353</v>
      </c>
    </row>
    <row r="461" customFormat="false" ht="15" hidden="false" customHeight="false" outlineLevel="0" collapsed="false">
      <c r="B461" s="21" t="s">
        <v>397</v>
      </c>
      <c r="C461" s="50" t="n">
        <f aca="false">Datos_FMI!$E$6+C460</f>
        <v>-1.6</v>
      </c>
      <c r="D461" s="37" t="n">
        <f aca="false">Datos_FMI!$F$6+D460</f>
        <v>-2.97175</v>
      </c>
      <c r="E461" s="37" t="n">
        <f aca="false">Datos_FMI!$G$6+E460</f>
        <v>-0.808</v>
      </c>
      <c r="F461" s="37" t="n">
        <f aca="false">Datos_FMI!$H$6+F460</f>
        <v>1.059</v>
      </c>
      <c r="G461" s="37" t="n">
        <f aca="false">Datos_FMI!$I$6+G460</f>
        <v>2.861</v>
      </c>
      <c r="H461" s="51" t="s">
        <v>114</v>
      </c>
    </row>
    <row r="462" customFormat="false" ht="15" hidden="false" customHeight="false" outlineLevel="0" collapsed="false">
      <c r="B462" s="21" t="s">
        <v>398</v>
      </c>
      <c r="C462" s="50" t="n">
        <v>0</v>
      </c>
      <c r="D462" s="37" t="n">
        <f aca="false">C462+D460</f>
        <v>0.02825</v>
      </c>
      <c r="E462" s="37" t="n">
        <f aca="false">D462+E460</f>
        <v>0.72025</v>
      </c>
      <c r="F462" s="37" t="n">
        <f aca="false">E462+F460</f>
        <v>1.27925</v>
      </c>
      <c r="G462" s="37" t="n">
        <f aca="false">F462+G460</f>
        <v>1.64025</v>
      </c>
      <c r="H462" s="51" t="s">
        <v>114</v>
      </c>
    </row>
    <row r="463" customFormat="false" ht="15" hidden="false" customHeight="false" outlineLevel="0" collapsed="false">
      <c r="B463" s="48" t="s">
        <v>399</v>
      </c>
      <c r="C463" s="49"/>
      <c r="D463" s="49"/>
      <c r="E463" s="49"/>
      <c r="F463" s="49"/>
      <c r="G463" s="49"/>
      <c r="H463" s="49"/>
    </row>
    <row r="464" customFormat="false" ht="15" hidden="false" customHeight="false" outlineLevel="0" collapsed="false">
      <c r="B464" s="21" t="s">
        <v>400</v>
      </c>
      <c r="C464" s="50" t="n">
        <v>0</v>
      </c>
      <c r="D464" s="37" t="n">
        <f aca="false">D455+auto*D460</f>
        <v>0.02315</v>
      </c>
      <c r="E464" s="37" t="n">
        <f aca="false">E455+auto*E460</f>
        <v>0.1134</v>
      </c>
      <c r="F464" s="37" t="n">
        <f aca="false">F455+auto*F460</f>
        <v>0.7518</v>
      </c>
      <c r="G464" s="37" t="n">
        <f aca="false">G455+auto*G460</f>
        <v>1.0622</v>
      </c>
      <c r="H464" s="51" t="s">
        <v>254</v>
      </c>
    </row>
    <row r="465" customFormat="false" ht="15" hidden="false" customHeight="false" outlineLevel="0" collapsed="false">
      <c r="B465" s="21" t="s">
        <v>401</v>
      </c>
      <c r="C465" s="50" t="n">
        <f aca="false">Datos_FMI!$E$17+C464</f>
        <v>-8.8</v>
      </c>
      <c r="D465" s="37" t="n">
        <f aca="false">Datos_FMI!$F$17+D464</f>
        <v>-6.47685</v>
      </c>
      <c r="E465" s="37" t="n">
        <f aca="false">Datos_FMI!$G$17+E464</f>
        <v>-2.8866</v>
      </c>
      <c r="F465" s="37" t="n">
        <f aca="false">Datos_FMI!$H$17+F464</f>
        <v>0.4518</v>
      </c>
      <c r="G465" s="37" t="n">
        <f aca="false">Datos_FMI!$I$17+G464</f>
        <v>1.6622</v>
      </c>
      <c r="H465" s="51" t="s">
        <v>122</v>
      </c>
    </row>
    <row r="466" customFormat="false" ht="15" hidden="false" customHeight="false" outlineLevel="0" collapsed="false">
      <c r="B466" s="21" t="s">
        <v>401</v>
      </c>
      <c r="C466" s="52" t="n">
        <f aca="false">Datos_FMI!$E$18+C464/100*Datos_FMI!$E$9</f>
        <v>-39587</v>
      </c>
      <c r="D466" s="34" t="n">
        <f aca="false">Datos_FMI!$F$18+D464/100*Datos_FMI!$F$9</f>
        <v>-32751.7704835</v>
      </c>
      <c r="E466" s="34" t="n">
        <f aca="false">Datos_FMI!$G$18+E464/100*Datos_FMI!$G$9</f>
        <v>-16810.208934</v>
      </c>
      <c r="F466" s="34" t="n">
        <f aca="false">Datos_FMI!$H$18+F464/100*Datos_FMI!$H$9</f>
        <v>2802.836178</v>
      </c>
      <c r="G466" s="34" t="n">
        <f aca="false">Datos_FMI!$I$18+G464/100*Datos_FMI!$I$9</f>
        <v>11268.618948</v>
      </c>
      <c r="H466" s="51" t="s">
        <v>119</v>
      </c>
    </row>
    <row r="467" customFormat="false" ht="15" hidden="false" customHeight="false" outlineLevel="0" collapsed="false">
      <c r="B467" s="21" t="s">
        <v>402</v>
      </c>
      <c r="C467" s="50" t="n">
        <v>0</v>
      </c>
      <c r="D467" s="37" t="n">
        <f aca="false">r_int*C486/Datos_FMI!$F$9*100</f>
        <v>0</v>
      </c>
      <c r="E467" s="37" t="n">
        <f aca="false">r_int*D486/Datos_FMI!$G$9*100</f>
        <v>-0.00131764339424761</v>
      </c>
      <c r="F467" s="37" t="n">
        <f aca="false">r_int*E486/Datos_FMI!$H$9*100</f>
        <v>-0.0262262271398425</v>
      </c>
      <c r="G467" s="37" t="n">
        <f aca="false">r_int*F486/Datos_FMI!$I$9*100</f>
        <v>-0.0938489510972667</v>
      </c>
      <c r="H467" s="51" t="s">
        <v>254</v>
      </c>
    </row>
    <row r="468" customFormat="false" ht="15" hidden="false" customHeight="false" outlineLevel="0" collapsed="false">
      <c r="B468" s="21" t="s">
        <v>403</v>
      </c>
      <c r="C468" s="50" t="n">
        <v>0</v>
      </c>
      <c r="D468" s="37" t="n">
        <f aca="false">D464-D467</f>
        <v>0.02315</v>
      </c>
      <c r="E468" s="37" t="n">
        <f aca="false">E464-E467</f>
        <v>0.114717643394248</v>
      </c>
      <c r="F468" s="37" t="n">
        <f aca="false">F464-F467</f>
        <v>0.778026227139843</v>
      </c>
      <c r="G468" s="37" t="n">
        <f aca="false">G464-G467</f>
        <v>1.15604895109727</v>
      </c>
      <c r="H468" s="51" t="s">
        <v>254</v>
      </c>
    </row>
    <row r="469" customFormat="false" ht="15" hidden="false" customHeight="false" outlineLevel="0" collapsed="false">
      <c r="B469" s="21" t="s">
        <v>404</v>
      </c>
      <c r="C469" s="50" t="n">
        <f aca="false">Datos_FMI!$E$19+C468</f>
        <v>-11.4</v>
      </c>
      <c r="D469" s="37" t="n">
        <f aca="false">Datos_FMI!$F$19+D468</f>
        <v>-9.17685</v>
      </c>
      <c r="E469" s="37" t="n">
        <f aca="false">Datos_FMI!$G$19+E468</f>
        <v>-6.58528235660575</v>
      </c>
      <c r="F469" s="37" t="n">
        <f aca="false">Datos_FMI!$H$19+F468</f>
        <v>-3.22197377286016</v>
      </c>
      <c r="G469" s="37" t="n">
        <f aca="false">Datos_FMI!$I$19+G468</f>
        <v>-2.04395104890273</v>
      </c>
      <c r="H469" s="51" t="s">
        <v>122</v>
      </c>
    </row>
    <row r="470" customFormat="false" ht="15" hidden="false" customHeight="false" outlineLevel="0" collapsed="false">
      <c r="B470" s="21" t="s">
        <v>405</v>
      </c>
      <c r="C470" s="52" t="n">
        <v>0</v>
      </c>
      <c r="D470" s="34" t="n">
        <f aca="false">-D468/100*Datos_FMI!$F$9</f>
        <v>-117.2295165</v>
      </c>
      <c r="E470" s="34" t="n">
        <f aca="false">-E468/100*Datos_FMI!$G$9</f>
        <v>-663.410984572501</v>
      </c>
      <c r="F470" s="34" t="n">
        <f aca="false">-F468/100*Datos_FMI!$H$9</f>
        <v>-4826.64908556971</v>
      </c>
      <c r="G470" s="34" t="n">
        <f aca="false">-G468/100*Datos_FMI!$I$9</f>
        <v>-7837.24889613174</v>
      </c>
      <c r="H470" s="51" t="s">
        <v>119</v>
      </c>
    </row>
    <row r="471" customFormat="false" ht="15" hidden="false" customHeight="false" outlineLevel="0" collapsed="false">
      <c r="B471" s="21" t="s">
        <v>386</v>
      </c>
      <c r="C471" s="52" t="n">
        <v>0</v>
      </c>
      <c r="D471" s="34" t="n">
        <f aca="false">D450*D478</f>
        <v>0</v>
      </c>
      <c r="E471" s="34" t="n">
        <f aca="false">E450*E478</f>
        <v>3919.37724469287</v>
      </c>
      <c r="F471" s="34" t="n">
        <f aca="false">F450*F478</f>
        <v>3941.42265854258</v>
      </c>
      <c r="G471" s="34" t="n">
        <f aca="false">G450*G478</f>
        <v>1326.30495929487</v>
      </c>
      <c r="H471" s="51" t="s">
        <v>119</v>
      </c>
    </row>
    <row r="472" customFormat="false" ht="15" hidden="false" customHeight="false" outlineLevel="0" collapsed="false">
      <c r="B472" s="21" t="s">
        <v>406</v>
      </c>
      <c r="C472" s="52" t="n">
        <v>0</v>
      </c>
      <c r="D472" s="34" t="n">
        <f aca="false">MIN(cap_dom/100*Datos_FMI!$F$9,MAX(0,D470-D471))</f>
        <v>0</v>
      </c>
      <c r="E472" s="34" t="n">
        <f aca="false">MIN(cap_dom/100*Datos_FMI!$G$9,MAX(0,E470-E471))</f>
        <v>0</v>
      </c>
      <c r="F472" s="34" t="n">
        <f aca="false">MIN(cap_dom/100*Datos_FMI!$H$9,MAX(0,F470-F471))</f>
        <v>0</v>
      </c>
      <c r="G472" s="34" t="n">
        <f aca="false">MIN(cap_dom/100*Datos_FMI!$I$9,MAX(0,G470-G471))</f>
        <v>0</v>
      </c>
      <c r="H472" s="51" t="s">
        <v>119</v>
      </c>
    </row>
    <row r="473" customFormat="false" ht="15" hidden="false" customHeight="false" outlineLevel="0" collapsed="false">
      <c r="B473" s="21" t="s">
        <v>407</v>
      </c>
      <c r="C473" s="50" t="n">
        <v>0</v>
      </c>
      <c r="D473" s="37" t="n">
        <f aca="false">D472/Datos_FMI!$F$9*100</f>
        <v>0</v>
      </c>
      <c r="E473" s="37" t="n">
        <f aca="false">E472/Datos_FMI!$G$9*100</f>
        <v>0</v>
      </c>
      <c r="F473" s="37" t="n">
        <f aca="false">F472/Datos_FMI!$H$9*100</f>
        <v>0</v>
      </c>
      <c r="G473" s="37" t="n">
        <f aca="false">G472/Datos_FMI!$I$9*100</f>
        <v>0</v>
      </c>
      <c r="H473" s="51" t="s">
        <v>254</v>
      </c>
    </row>
    <row r="474" customFormat="false" ht="15" hidden="false" customHeight="false" outlineLevel="0" collapsed="false">
      <c r="B474" s="21" t="s">
        <v>408</v>
      </c>
      <c r="C474" s="52" t="n">
        <v>0</v>
      </c>
      <c r="D474" s="34" t="n">
        <f aca="false">MAX(0,D470-D471-D472)</f>
        <v>0</v>
      </c>
      <c r="E474" s="34" t="n">
        <f aca="false">MAX(0,E470-E471-E472)</f>
        <v>0</v>
      </c>
      <c r="F474" s="34" t="n">
        <f aca="false">MAX(0,F470-F471-F472)</f>
        <v>0</v>
      </c>
      <c r="G474" s="34" t="n">
        <f aca="false">MAX(0,G470-G471-G472)</f>
        <v>0</v>
      </c>
      <c r="H474" s="51" t="s">
        <v>119</v>
      </c>
    </row>
    <row r="475" customFormat="false" ht="15" hidden="false" customHeight="false" outlineLevel="0" collapsed="false">
      <c r="B475" s="48" t="s">
        <v>409</v>
      </c>
      <c r="C475" s="49"/>
      <c r="D475" s="49"/>
      <c r="E475" s="49"/>
      <c r="F475" s="49"/>
      <c r="G475" s="49"/>
      <c r="H475" s="49"/>
    </row>
    <row r="476" customFormat="false" ht="15" hidden="false" customHeight="false" outlineLevel="0" collapsed="false">
      <c r="B476" s="21" t="s">
        <v>410</v>
      </c>
      <c r="C476" s="50" t="n">
        <v>0</v>
      </c>
      <c r="D476" s="37" t="n">
        <f aca="false">D449+bm_dep*D447</f>
        <v>0</v>
      </c>
      <c r="E476" s="37" t="n">
        <f aca="false">E449+bm_dep*E447</f>
        <v>-0.75</v>
      </c>
      <c r="F476" s="37" t="n">
        <f aca="false">F449+bm_dep*F447</f>
        <v>-1</v>
      </c>
      <c r="G476" s="37" t="n">
        <f aca="false">G449+bm_dep*G447</f>
        <v>-0.5</v>
      </c>
      <c r="H476" s="51" t="s">
        <v>353</v>
      </c>
    </row>
    <row r="477" customFormat="false" ht="15" hidden="false" customHeight="false" outlineLevel="0" collapsed="false">
      <c r="B477" s="21" t="s">
        <v>411</v>
      </c>
      <c r="C477" s="50" t="n">
        <v>0</v>
      </c>
      <c r="D477" s="37" t="n">
        <f aca="false">C477+D476</f>
        <v>0</v>
      </c>
      <c r="E477" s="37" t="n">
        <f aca="false">D477+E476</f>
        <v>-0.75</v>
      </c>
      <c r="F477" s="37" t="n">
        <f aca="false">E477+F476</f>
        <v>-1.75</v>
      </c>
      <c r="G477" s="37" t="n">
        <f aca="false">F477+G476</f>
        <v>-2.25</v>
      </c>
      <c r="H477" s="51" t="s">
        <v>114</v>
      </c>
    </row>
    <row r="478" customFormat="false" ht="15" hidden="false" customHeight="false" outlineLevel="0" collapsed="false">
      <c r="B478" s="21" t="s">
        <v>412</v>
      </c>
      <c r="C478" s="50" t="n">
        <f aca="false">12.8</f>
        <v>12.8</v>
      </c>
      <c r="D478" s="37" t="n">
        <f aca="false">Datos_FMI!$F$42*(1+D477/100)</f>
        <v>9.40463592699328</v>
      </c>
      <c r="E478" s="37" t="n">
        <f aca="false">Datos_FMI!$G$42*(1+E477/100)</f>
        <v>13.0645908156429</v>
      </c>
      <c r="F478" s="37" t="n">
        <f aca="false">Datos_FMI!$H$42*(1+F477/100)</f>
        <v>13.1380755284753</v>
      </c>
      <c r="G478" s="37" t="n">
        <f aca="false">Datos_FMI!$I$42*(1+G477/100)</f>
        <v>13.2630495929487</v>
      </c>
      <c r="H478" s="51" t="s">
        <v>168</v>
      </c>
    </row>
    <row r="479" customFormat="false" ht="15" hidden="false" customHeight="false" outlineLevel="0" collapsed="false">
      <c r="B479" s="21" t="s">
        <v>413</v>
      </c>
      <c r="C479" s="50" t="n">
        <v>0</v>
      </c>
      <c r="D479" s="37" t="n">
        <f aca="false">-phi_sub*(D442-C442)+mu_bm*(D447+D474/Datos_FMI!$F$34*100)+eta*D460+psi*D476+tax_pi*D444</f>
        <v>0.0105625</v>
      </c>
      <c r="E479" s="37" t="n">
        <f aca="false">-phi_sub*(E442-D442)+mu_bm*(E447+E474/Datos_FMI!$G$34*100)+eta*E460+psi*E476+tax_pi*E444</f>
        <v>0.0265</v>
      </c>
      <c r="F479" s="37" t="n">
        <f aca="false">-phi_sub*(F442-E442)+mu_bm*(F447+F474/Datos_FMI!$H$34*100)+eta*F460+psi*F476+tax_pi*F444</f>
        <v>0.11375</v>
      </c>
      <c r="G479" s="37" t="n">
        <f aca="false">-phi_sub*(G442-F442)+mu_bm*(G447+G474/Datos_FMI!$I$34*100)+eta*G460+psi*G476+tax_pi*G444</f>
        <v>0.02725</v>
      </c>
      <c r="H479" s="51" t="s">
        <v>353</v>
      </c>
    </row>
    <row r="480" customFormat="false" ht="15" hidden="false" customHeight="false" outlineLevel="0" collapsed="false">
      <c r="B480" s="21" t="s">
        <v>414</v>
      </c>
      <c r="C480" s="50" t="n">
        <f aca="false">Datos_FMI!$E$7+C479</f>
        <v>19.5</v>
      </c>
      <c r="D480" s="37" t="n">
        <f aca="false">Datos_FMI!$F$7+D479</f>
        <v>12.7105625</v>
      </c>
      <c r="E480" s="37" t="n">
        <f aca="false">Datos_FMI!$G$7+E479</f>
        <v>15.8265</v>
      </c>
      <c r="F480" s="37" t="n">
        <f aca="false">Datos_FMI!$H$7+F479</f>
        <v>8.31375</v>
      </c>
      <c r="G480" s="37" t="n">
        <f aca="false">Datos_FMI!$I$7+G479</f>
        <v>7.32725</v>
      </c>
      <c r="H480" s="51" t="s">
        <v>114</v>
      </c>
    </row>
    <row r="481" customFormat="false" ht="15" hidden="false" customHeight="false" outlineLevel="0" collapsed="false">
      <c r="B481" s="21" t="s">
        <v>415</v>
      </c>
      <c r="C481" s="50" t="n">
        <f aca="false">Datos_FMI!$E$8+C479</f>
        <v>20.4</v>
      </c>
      <c r="D481" s="37" t="n">
        <f aca="false">Datos_FMI!$F$8+D479</f>
        <v>14.2105625</v>
      </c>
      <c r="E481" s="37" t="n">
        <f aca="false">Datos_FMI!$G$8+E479</f>
        <v>10.7265</v>
      </c>
      <c r="F481" s="37" t="n">
        <f aca="false">Datos_FMI!$H$8+F479</f>
        <v>8.81375</v>
      </c>
      <c r="G481" s="37" t="n">
        <f aca="false">Datos_FMI!$I$8+G479</f>
        <v>6.22725</v>
      </c>
      <c r="H481" s="51" t="s">
        <v>114</v>
      </c>
    </row>
    <row r="482" customFormat="false" ht="15" hidden="false" customHeight="false" outlineLevel="0" collapsed="false">
      <c r="B482" s="21" t="s">
        <v>416</v>
      </c>
      <c r="C482" s="50" t="n">
        <v>0</v>
      </c>
      <c r="D482" s="37" t="n">
        <f aca="false">C482+D479</f>
        <v>0.0105625</v>
      </c>
      <c r="E482" s="37" t="n">
        <f aca="false">D482+E479</f>
        <v>0.0370625</v>
      </c>
      <c r="F482" s="37" t="n">
        <f aca="false">E482+F479</f>
        <v>0.1508125</v>
      </c>
      <c r="G482" s="37" t="n">
        <f aca="false">F482+G479</f>
        <v>0.1780625</v>
      </c>
      <c r="H482" s="51" t="s">
        <v>114</v>
      </c>
    </row>
    <row r="483" customFormat="false" ht="15" hidden="false" customHeight="false" outlineLevel="0" collapsed="false">
      <c r="B483" s="21" t="s">
        <v>417</v>
      </c>
      <c r="C483" s="52" t="n">
        <f aca="false">Datos_FMI!$E$9*(1+C462/100)*(1+C482/100)</f>
        <v>447553</v>
      </c>
      <c r="D483" s="34" t="n">
        <f aca="false">Datos_FMI!$F$9*(1+D462/100)*(1+D482/100)</f>
        <v>506587.558117108</v>
      </c>
      <c r="E483" s="34" t="n">
        <f aca="false">Datos_FMI!$G$9*(1+E462/100)*(1+E482/100)</f>
        <v>582680.074341087</v>
      </c>
      <c r="F483" s="34" t="n">
        <f aca="false">Datos_FMI!$H$9*(1+F462/100)*(1+F482/100)</f>
        <v>629254.661656681</v>
      </c>
      <c r="G483" s="34" t="n">
        <f aca="false">Datos_FMI!$I$9*(1+G462/100)*(1+G482/100)</f>
        <v>690280.758879767</v>
      </c>
      <c r="H483" s="51" t="s">
        <v>119</v>
      </c>
    </row>
    <row r="484" customFormat="false" ht="15" hidden="false" customHeight="false" outlineLevel="0" collapsed="false">
      <c r="B484" s="48" t="s">
        <v>418</v>
      </c>
      <c r="C484" s="49"/>
      <c r="D484" s="49"/>
      <c r="E484" s="49"/>
      <c r="F484" s="49"/>
      <c r="G484" s="49"/>
      <c r="H484" s="49"/>
    </row>
    <row r="485" customFormat="false" ht="15" hidden="false" customHeight="false" outlineLevel="0" collapsed="false">
      <c r="B485" s="21" t="s">
        <v>419</v>
      </c>
      <c r="C485" s="52" t="n">
        <v>0</v>
      </c>
      <c r="D485" s="34" t="n">
        <f aca="false">C485+D470</f>
        <v>-117.2295165</v>
      </c>
      <c r="E485" s="34" t="n">
        <f aca="false">D485+E470</f>
        <v>-780.640501072501</v>
      </c>
      <c r="F485" s="34" t="n">
        <f aca="false">E485+F470</f>
        <v>-5607.28958664221</v>
      </c>
      <c r="G485" s="34" t="n">
        <f aca="false">F485+G470</f>
        <v>-13444.538482774</v>
      </c>
      <c r="H485" s="51" t="s">
        <v>119</v>
      </c>
    </row>
    <row r="486" customFormat="false" ht="15" hidden="false" customHeight="false" outlineLevel="0" collapsed="false">
      <c r="B486" s="21" t="s">
        <v>420</v>
      </c>
      <c r="C486" s="52" t="n">
        <v>0</v>
      </c>
      <c r="D486" s="34" t="n">
        <f aca="false">D485+Datos_FMI!$F$22*D477/100</f>
        <v>-117.2295165</v>
      </c>
      <c r="E486" s="34" t="n">
        <f aca="false">E485+Datos_FMI!$G$22*E477/100</f>
        <v>-2503.0755010725</v>
      </c>
      <c r="F486" s="34" t="n">
        <f aca="false">F485+Datos_FMI!$H$22*F477/100</f>
        <v>-9788.21458664221</v>
      </c>
      <c r="G486" s="34" t="n">
        <f aca="false">G485+Datos_FMI!$I$22*G477/100</f>
        <v>-19058.018482774</v>
      </c>
      <c r="H486" s="51" t="s">
        <v>119</v>
      </c>
    </row>
    <row r="487" customFormat="false" ht="15" hidden="false" customHeight="false" outlineLevel="0" collapsed="false">
      <c r="B487" s="21" t="s">
        <v>421</v>
      </c>
      <c r="C487" s="50" t="n">
        <f aca="false">(Datos_FMI!$E$21+C486)/C483*100</f>
        <v>83.3168362182803</v>
      </c>
      <c r="D487" s="37" t="n">
        <f aca="false">(Datos_FMI!$F$21+D486)/D483*100</f>
        <v>100.415567325462</v>
      </c>
      <c r="E487" s="37" t="n">
        <f aca="false">(Datos_FMI!$G$21+E486)/E483*100</f>
        <v>94.2146383021112</v>
      </c>
      <c r="F487" s="37" t="n">
        <f aca="false">(Datos_FMI!$H$21+F486)/F483*100</f>
        <v>90.3144338918579</v>
      </c>
      <c r="G487" s="37" t="n">
        <f aca="false">(Datos_FMI!$I$21+G486)/G483*100</f>
        <v>84.8469226445931</v>
      </c>
      <c r="H487" s="51" t="s">
        <v>122</v>
      </c>
    </row>
    <row r="488" customFormat="false" ht="15" hidden="false" customHeight="false" outlineLevel="0" collapsed="false">
      <c r="B488" s="48" t="s">
        <v>422</v>
      </c>
      <c r="C488" s="49"/>
      <c r="D488" s="49"/>
      <c r="E488" s="49"/>
      <c r="F488" s="49"/>
      <c r="G488" s="49"/>
      <c r="H488" s="49"/>
    </row>
    <row r="489" customFormat="false" ht="15" hidden="false" customHeight="false" outlineLevel="0" collapsed="false">
      <c r="B489" s="21" t="s">
        <v>423</v>
      </c>
      <c r="C489" s="52" t="n">
        <v>0</v>
      </c>
      <c r="D489" s="34" t="n">
        <f aca="false">D450-D451-imp_el*D460/100*Datos_FMI!$F$24-sub_leak*D442/100*Datos_FMI!$F$41-bm_flight*D447-monet_leak*D474/D478</f>
        <v>-5.293485</v>
      </c>
      <c r="E489" s="34" t="n">
        <f aca="false">E450-E451-imp_el*E460/100*Datos_FMI!$G$24-sub_leak*E442/100*Datos_FMI!$G$41-bm_flight*E447-monet_leak*E474/E478</f>
        <v>-34.9573944680851</v>
      </c>
      <c r="F489" s="34" t="n">
        <f aca="false">F450-F451-imp_el*F460/100*Datos_FMI!$H$24-sub_leak*F442/100*Datos_FMI!$H$41-bm_flight*F447-monet_leak*F474/F478</f>
        <v>39.13353</v>
      </c>
      <c r="G489" s="34" t="n">
        <f aca="false">G450-G451-imp_el*G460/100*Datos_FMI!$I$24-sub_leak*G442/100*Datos_FMI!$I$41-bm_flight*G447-monet_leak*G474/G478</f>
        <v>-76.0266</v>
      </c>
      <c r="H489" s="51" t="s">
        <v>140</v>
      </c>
    </row>
    <row r="490" customFormat="false" ht="15" hidden="false" customHeight="false" outlineLevel="0" collapsed="false">
      <c r="B490" s="21" t="s">
        <v>424</v>
      </c>
      <c r="C490" s="52" t="n">
        <v>0</v>
      </c>
      <c r="D490" s="34" t="n">
        <f aca="false">C490+D489</f>
        <v>-5.293485</v>
      </c>
      <c r="E490" s="34" t="n">
        <f aca="false">D490+E489</f>
        <v>-40.2508794680851</v>
      </c>
      <c r="F490" s="34" t="n">
        <f aca="false">E490+F489</f>
        <v>-1.11734946808507</v>
      </c>
      <c r="G490" s="34" t="n">
        <f aca="false">F490+G489</f>
        <v>-77.1439494680851</v>
      </c>
      <c r="H490" s="51" t="s">
        <v>140</v>
      </c>
    </row>
    <row r="491" customFormat="false" ht="15" hidden="false" customHeight="false" outlineLevel="0" collapsed="false">
      <c r="B491" s="21" t="s">
        <v>425</v>
      </c>
      <c r="C491" s="52" t="n">
        <f aca="false">Datos_FMI!$E$31+C490</f>
        <v>-2990</v>
      </c>
      <c r="D491" s="34" t="n">
        <f aca="false">Datos_FMI!$F$31+D490</f>
        <v>-586.293485</v>
      </c>
      <c r="E491" s="34" t="n">
        <f aca="false">Datos_FMI!$G$31+E490</f>
        <v>703.749120531915</v>
      </c>
      <c r="F491" s="34" t="n">
        <f aca="false">Datos_FMI!$H$31+F490</f>
        <v>1302.88265053192</v>
      </c>
      <c r="G491" s="34" t="n">
        <f aca="false">Datos_FMI!$I$31+G490</f>
        <v>1800.85605053192</v>
      </c>
      <c r="H491" s="51" t="s">
        <v>140</v>
      </c>
    </row>
    <row r="492" customFormat="false" ht="15" hidden="false" customHeight="false" outlineLevel="0" collapsed="false">
      <c r="B492" s="21" t="s">
        <v>426</v>
      </c>
      <c r="C492" s="52" t="n">
        <f aca="false">Datos_FMI!$E$28+C490</f>
        <v>627</v>
      </c>
      <c r="D492" s="34" t="n">
        <f aca="false">Datos_FMI!$F$28+D490</f>
        <v>2452.706515</v>
      </c>
      <c r="E492" s="34" t="n">
        <f aca="false">Datos_FMI!$G$28+E490</f>
        <v>3941.74912053191</v>
      </c>
      <c r="F492" s="34" t="n">
        <f aca="false">Datos_FMI!$H$28+F490</f>
        <v>4688.88265053192</v>
      </c>
      <c r="G492" s="34" t="n">
        <f aca="false">Datos_FMI!$I$28+G490</f>
        <v>5449.85605053192</v>
      </c>
      <c r="H492" s="51" t="s">
        <v>140</v>
      </c>
    </row>
    <row r="493" customFormat="false" ht="15" hidden="false" customHeight="false" outlineLevel="0" collapsed="false">
      <c r="B493" s="21" t="s">
        <v>427</v>
      </c>
      <c r="C493" s="50" t="n">
        <f aca="false">Datos_FMI!$E$29*C492/Datos_FMI!$E$28</f>
        <v>10.9</v>
      </c>
      <c r="D493" s="37" t="n">
        <f aca="false">Datos_FMI!$F$29*D492/Datos_FMI!$F$28</f>
        <v>53.2849991460537</v>
      </c>
      <c r="E493" s="37" t="n">
        <f aca="false">Datos_FMI!$G$29*E492/Datos_FMI!$G$28</f>
        <v>85.2296833947257</v>
      </c>
      <c r="F493" s="37" t="n">
        <f aca="false">Datos_FMI!$H$29*F492/Datos_FMI!$H$28</f>
        <v>100.076152093442</v>
      </c>
      <c r="G493" s="37" t="n">
        <f aca="false">Datos_FMI!$I$29*G492/Datos_FMI!$I$28</f>
        <v>110.732555540933</v>
      </c>
      <c r="H493" s="51" t="s">
        <v>114</v>
      </c>
    </row>
    <row r="494" customFormat="false" ht="15" hidden="false" customHeight="false" outlineLevel="0" collapsed="false">
      <c r="B494" s="48" t="s">
        <v>428</v>
      </c>
      <c r="C494" s="49"/>
      <c r="D494" s="49"/>
      <c r="E494" s="49"/>
      <c r="F494" s="49"/>
      <c r="G494" s="49"/>
      <c r="H494" s="49"/>
    </row>
    <row r="495" customFormat="false" ht="15" hidden="false" customHeight="false" outlineLevel="0" collapsed="false">
      <c r="B495" s="21" t="s">
        <v>429</v>
      </c>
      <c r="C495" s="50" t="n">
        <f aca="false">Datos_FMI!$E$32+C457</f>
        <v>3.1</v>
      </c>
      <c r="D495" s="37" t="n">
        <f aca="false">Datos_FMI!$F$32+D457</f>
        <v>4.25</v>
      </c>
      <c r="E495" s="37" t="n">
        <f aca="false">Datos_FMI!$G$32+E457</f>
        <v>10.55</v>
      </c>
      <c r="F495" s="37" t="n">
        <f aca="false">Datos_FMI!$H$32+F457</f>
        <v>10.3</v>
      </c>
      <c r="G495" s="37" t="n">
        <f aca="false">Datos_FMI!$I$32+G457</f>
        <v>11.5</v>
      </c>
      <c r="H495" s="51" t="s">
        <v>114</v>
      </c>
    </row>
    <row r="496" customFormat="false" ht="15" hidden="false" customHeight="false" outlineLevel="0" collapsed="false">
      <c r="B496" s="21" t="s">
        <v>430</v>
      </c>
      <c r="C496" s="50" t="n">
        <v>0</v>
      </c>
      <c r="D496" s="37" t="n">
        <f aca="false">C496+D447</f>
        <v>0</v>
      </c>
      <c r="E496" s="37" t="n">
        <f aca="false">D496+E447</f>
        <v>0.5</v>
      </c>
      <c r="F496" s="37" t="n">
        <f aca="false">E496+F447</f>
        <v>0.5</v>
      </c>
      <c r="G496" s="37" t="n">
        <f aca="false">F496+G447</f>
        <v>0.5</v>
      </c>
      <c r="H496" s="51" t="s">
        <v>114</v>
      </c>
    </row>
    <row r="497" customFormat="false" ht="15" hidden="false" customHeight="false" outlineLevel="0" collapsed="false">
      <c r="B497" s="21" t="s">
        <v>431</v>
      </c>
      <c r="C497" s="52" t="n">
        <v>0</v>
      </c>
      <c r="D497" s="34" t="n">
        <f aca="false">C497+D474</f>
        <v>0</v>
      </c>
      <c r="E497" s="34" t="n">
        <f aca="false">D497+E474</f>
        <v>0</v>
      </c>
      <c r="F497" s="34" t="n">
        <f aca="false">E497+F474</f>
        <v>0</v>
      </c>
      <c r="G497" s="34" t="n">
        <f aca="false">F497+G474</f>
        <v>0</v>
      </c>
      <c r="H497" s="51" t="s">
        <v>119</v>
      </c>
    </row>
    <row r="498" customFormat="false" ht="15" hidden="false" customHeight="false" outlineLevel="0" collapsed="false">
      <c r="B498" s="21" t="s">
        <v>432</v>
      </c>
      <c r="C498" s="52" t="n">
        <f aca="false">Datos_FMI!$E$34</f>
        <v>132269</v>
      </c>
      <c r="D498" s="34" t="n">
        <f aca="false">meta_bm*(1+D496/100)+D497</f>
        <v>133900</v>
      </c>
      <c r="E498" s="34" t="n">
        <f aca="false">Datos_FMI!$G$34*(1+E496/100)+E497</f>
        <v>149074.665</v>
      </c>
      <c r="F498" s="34" t="n">
        <f aca="false">Datos_FMI!$H$34*(1+F496/100)+F497</f>
        <v>162110.52</v>
      </c>
      <c r="G498" s="34" t="n">
        <f aca="false">Datos_FMI!$I$34*(1+G496/100)+G497</f>
        <v>177898.065</v>
      </c>
      <c r="H498" s="51" t="s">
        <v>119</v>
      </c>
    </row>
    <row r="499" customFormat="false" ht="15" hidden="false" customHeight="false" outlineLevel="0" collapsed="false">
      <c r="B499" s="48" t="s">
        <v>433</v>
      </c>
      <c r="C499" s="49"/>
      <c r="D499" s="49"/>
      <c r="E499" s="49"/>
      <c r="F499" s="49"/>
      <c r="G499" s="49"/>
      <c r="H499" s="49"/>
    </row>
    <row r="500" customFormat="false" ht="15" hidden="false" customHeight="false" outlineLevel="0" collapsed="false">
      <c r="B500" s="21" t="s">
        <v>434</v>
      </c>
      <c r="C500" s="52" t="n">
        <f aca="false">Datos_FMI!$E$14+C443/100*Datos_FMI!$E$9</f>
        <v>5525</v>
      </c>
      <c r="D500" s="34" t="n">
        <f aca="false">Datos_FMI!$F$14+D443/100*Datos_FMI!$F$9</f>
        <v>10890</v>
      </c>
      <c r="E500" s="34" t="n">
        <f aca="false">Datos_FMI!$G$14+E443/100*Datos_FMI!$G$9</f>
        <v>14168.3255</v>
      </c>
      <c r="F500" s="34" t="n">
        <f aca="false">Datos_FMI!$H$14+F443/100*Datos_FMI!$H$9</f>
        <v>9305.565</v>
      </c>
      <c r="G500" s="34" t="n">
        <f aca="false">Datos_FMI!$I$14+G443/100*Datos_FMI!$I$9</f>
        <v>9830.043</v>
      </c>
      <c r="H500" s="51" t="s">
        <v>119</v>
      </c>
    </row>
    <row r="501" customFormat="false" ht="15" hidden="false" customHeight="false" outlineLevel="0" collapsed="false">
      <c r="B501" s="21" t="s">
        <v>435</v>
      </c>
      <c r="C501" s="52" t="n">
        <v>0</v>
      </c>
      <c r="D501" s="34" t="n">
        <f aca="false">emp_el*D462/100*pea</f>
        <v>0.904</v>
      </c>
      <c r="E501" s="34" t="n">
        <f aca="false">emp_el*E462/100*pea</f>
        <v>23.048</v>
      </c>
      <c r="F501" s="34" t="n">
        <f aca="false">emp_el*F462/100*pea</f>
        <v>40.936</v>
      </c>
      <c r="G501" s="34" t="n">
        <f aca="false">emp_el*G462/100*pea</f>
        <v>52.488</v>
      </c>
      <c r="H501" s="51" t="s">
        <v>315</v>
      </c>
    </row>
    <row r="502" customFormat="false" ht="15" hidden="false" customHeight="false" outlineLevel="0" collapsed="false">
      <c r="B502" s="21" t="s">
        <v>436</v>
      </c>
      <c r="C502" s="50" t="n">
        <v>0</v>
      </c>
      <c r="D502" s="37" t="n">
        <f aca="false">-pov_g*D462-pov_soc*D443+pov_pi*D479-pov_sub*D442</f>
        <v>-0.018190625</v>
      </c>
      <c r="E502" s="37" t="n">
        <f aca="false">-pov_g*E462-pov_soc*E443+pov_pi*E479-pov_sub*E442</f>
        <v>-1.0602</v>
      </c>
      <c r="F502" s="37" t="n">
        <f aca="false">-pov_g*F462-pov_soc*F443+pov_pi*F479-pov_sub*F442</f>
        <v>-1.2784125</v>
      </c>
      <c r="G502" s="37" t="n">
        <f aca="false">-pov_g*G462-pov_soc*G443+pov_pi*G479-pov_sub*G442</f>
        <v>-1.4440875</v>
      </c>
      <c r="H502" s="51" t="s">
        <v>353</v>
      </c>
    </row>
    <row r="503" customFormat="false" ht="15" hidden="false" customHeight="false" outlineLevel="0" collapsed="false">
      <c r="B503" s="21" t="s">
        <v>437</v>
      </c>
      <c r="C503" s="50" t="n">
        <v>0</v>
      </c>
      <c r="D503" s="37" t="n">
        <f aca="false">-gini_tpr*D445-gini_soc*D443</f>
        <v>-0</v>
      </c>
      <c r="E503" s="37" t="n">
        <f aca="false">-gini_tpr*E445-gini_soc*E443</f>
        <v>-0.145</v>
      </c>
      <c r="F503" s="37" t="n">
        <f aca="false">-gini_tpr*F445-gini_soc*F443</f>
        <v>-0.17</v>
      </c>
      <c r="G503" s="37" t="n">
        <f aca="false">-gini_tpr*G445-gini_soc*G443</f>
        <v>-0.18</v>
      </c>
      <c r="H503" s="51" t="s">
        <v>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C1"/>
    <pageSetUpPr fitToPage="false"/>
  </sheetPr>
  <dimension ref="B2:G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7" min="3" style="0" width="24"/>
    <col collapsed="false" customWidth="true" hidden="false" outlineLevel="0" max="8" min="8" style="0" width="50"/>
  </cols>
  <sheetData>
    <row r="2" customFormat="false" ht="18.55" hidden="false" customHeight="false" outlineLevel="0" collapsed="false">
      <c r="B2" s="1" t="s">
        <v>439</v>
      </c>
    </row>
    <row r="3" customFormat="false" ht="15" hidden="false" customHeight="false" outlineLevel="0" collapsed="false">
      <c r="B3" s="2" t="s">
        <v>440</v>
      </c>
    </row>
    <row r="5" customFormat="false" ht="15" hidden="false" customHeight="false" outlineLevel="0" collapsed="false">
      <c r="B5" s="11" t="s">
        <v>441</v>
      </c>
      <c r="C5" s="11" t="s">
        <v>442</v>
      </c>
      <c r="D5" s="11" t="s">
        <v>443</v>
      </c>
      <c r="E5" s="11" t="s">
        <v>444</v>
      </c>
      <c r="F5" s="11" t="s">
        <v>445</v>
      </c>
      <c r="G5" s="11" t="s">
        <v>446</v>
      </c>
    </row>
    <row r="6" customFormat="false" ht="15" hidden="false" customHeight="false" outlineLevel="0" collapsed="false">
      <c r="B6" s="21" t="s">
        <v>447</v>
      </c>
      <c r="C6" s="53" t="n">
        <v>-0.3</v>
      </c>
      <c r="D6" s="53" t="n">
        <v>-0.5</v>
      </c>
      <c r="E6" s="53" t="n">
        <v>-0.6</v>
      </c>
      <c r="F6" s="53" t="n">
        <v>-0.8</v>
      </c>
      <c r="G6" s="53" t="n">
        <v>-0.3</v>
      </c>
    </row>
    <row r="7" customFormat="false" ht="15" hidden="false" customHeight="false" outlineLevel="0" collapsed="false">
      <c r="B7" s="21" t="s">
        <v>448</v>
      </c>
      <c r="C7" s="53" t="n">
        <v>0</v>
      </c>
      <c r="D7" s="53" t="n">
        <v>0</v>
      </c>
      <c r="E7" s="53" t="n">
        <v>1.5</v>
      </c>
      <c r="F7" s="53" t="n">
        <v>0.5</v>
      </c>
      <c r="G7" s="53" t="n">
        <v>0</v>
      </c>
    </row>
    <row r="8" customFormat="false" ht="15" hidden="false" customHeight="false" outlineLevel="0" collapsed="false">
      <c r="B8" s="21" t="s">
        <v>449</v>
      </c>
      <c r="C8" s="53" t="n">
        <v>0</v>
      </c>
      <c r="D8" s="53" t="n">
        <v>0</v>
      </c>
      <c r="E8" s="53" t="n">
        <v>-0.1</v>
      </c>
      <c r="F8" s="53" t="n">
        <v>0</v>
      </c>
      <c r="G8" s="53" t="n">
        <v>0</v>
      </c>
    </row>
    <row r="9" customFormat="false" ht="15" hidden="false" customHeight="false" outlineLevel="0" collapsed="false">
      <c r="B9" s="21" t="s">
        <v>450</v>
      </c>
      <c r="C9" s="38" t="n">
        <v>0</v>
      </c>
      <c r="D9" s="38" t="n">
        <v>0</v>
      </c>
      <c r="E9" s="38" t="n">
        <v>-100</v>
      </c>
      <c r="F9" s="38" t="n">
        <v>-300</v>
      </c>
      <c r="G9" s="38" t="n">
        <v>0</v>
      </c>
    </row>
    <row r="10" customFormat="false" ht="15" hidden="false" customHeight="false" outlineLevel="0" collapsed="false">
      <c r="B10" s="21" t="s">
        <v>451</v>
      </c>
      <c r="C10" s="53" t="n">
        <v>0</v>
      </c>
      <c r="D10" s="53" t="n">
        <v>-2</v>
      </c>
      <c r="E10" s="53" t="n">
        <v>0</v>
      </c>
      <c r="F10" s="53" t="n">
        <v>-6</v>
      </c>
      <c r="G10" s="53" t="n">
        <v>0</v>
      </c>
    </row>
    <row r="11" customFormat="false" ht="15" hidden="false" customHeight="false" outlineLevel="0" collapsed="false">
      <c r="B11" s="21" t="s">
        <v>452</v>
      </c>
      <c r="C11" s="38" t="n">
        <v>0</v>
      </c>
      <c r="D11" s="38" t="n">
        <v>0</v>
      </c>
      <c r="E11" s="38" t="n">
        <v>0</v>
      </c>
      <c r="F11" s="38" t="n">
        <v>3000</v>
      </c>
      <c r="G11" s="38" t="n">
        <v>0</v>
      </c>
    </row>
    <row r="12" customFormat="false" ht="15" hidden="false" customHeight="false" outlineLevel="0" collapsed="false">
      <c r="B12" s="21" t="s">
        <v>453</v>
      </c>
      <c r="C12" s="53" t="n">
        <v>0</v>
      </c>
      <c r="D12" s="53" t="n">
        <v>0</v>
      </c>
      <c r="E12" s="53" t="n">
        <v>0</v>
      </c>
      <c r="F12" s="53" t="n">
        <v>0.8</v>
      </c>
      <c r="G12" s="53" t="n">
        <v>0</v>
      </c>
    </row>
    <row r="13" customFormat="false" ht="15" hidden="false" customHeight="false" outlineLevel="0" collapsed="false">
      <c r="B13" s="21" t="s">
        <v>454</v>
      </c>
      <c r="C13" s="54" t="n">
        <v>0.6</v>
      </c>
      <c r="D13" s="54" t="n">
        <v>0.3</v>
      </c>
      <c r="E13" s="54" t="n">
        <v>0</v>
      </c>
      <c r="F13" s="54" t="n">
        <v>0.5</v>
      </c>
      <c r="G13" s="54" t="n">
        <v>1</v>
      </c>
    </row>
    <row r="14" customFormat="false" ht="15" hidden="false" customHeight="false" outlineLevel="0" collapsed="false">
      <c r="B14" s="21" t="s">
        <v>455</v>
      </c>
      <c r="C14" s="54" t="n">
        <v>0.4</v>
      </c>
      <c r="D14" s="54" t="n">
        <v>0.4</v>
      </c>
      <c r="E14" s="54" t="n">
        <v>0.5</v>
      </c>
      <c r="F14" s="54" t="n">
        <v>0.5</v>
      </c>
      <c r="G14" s="54" t="n">
        <v>0.3</v>
      </c>
    </row>
    <row r="15" customFormat="false" ht="15" hidden="false" customHeight="false" outlineLevel="0" collapsed="false">
      <c r="B15" s="21" t="s">
        <v>456</v>
      </c>
      <c r="C15" s="53" t="n">
        <v>0.15</v>
      </c>
      <c r="D15" s="53" t="n">
        <v>0</v>
      </c>
      <c r="E15" s="53" t="n">
        <v>0.1</v>
      </c>
      <c r="F15" s="53" t="n">
        <v>0.2</v>
      </c>
      <c r="G15" s="53" t="n">
        <v>0</v>
      </c>
    </row>
    <row r="16" customFormat="false" ht="15" hidden="false" customHeight="false" outlineLevel="0" collapsed="false">
      <c r="B16" s="21" t="s">
        <v>457</v>
      </c>
      <c r="C16" s="54" t="n">
        <v>0.25</v>
      </c>
      <c r="D16" s="54" t="n">
        <v>0</v>
      </c>
      <c r="E16" s="54" t="n">
        <v>0</v>
      </c>
      <c r="F16" s="54" t="n">
        <v>0</v>
      </c>
      <c r="G16" s="54" t="n">
        <v>0</v>
      </c>
    </row>
    <row r="17" customFormat="false" ht="15" hidden="false" customHeight="false" outlineLevel="0" collapsed="false">
      <c r="B17" s="21" t="s">
        <v>458</v>
      </c>
      <c r="C17" s="54" t="n">
        <v>0.08</v>
      </c>
      <c r="D17" s="54" t="n">
        <v>0</v>
      </c>
      <c r="E17" s="54" t="n">
        <v>0</v>
      </c>
      <c r="F17" s="54" t="n">
        <v>0</v>
      </c>
      <c r="G17" s="54" t="n">
        <v>0</v>
      </c>
    </row>
    <row r="18" customFormat="false" ht="15" hidden="false" customHeight="false" outlineLevel="0" collapsed="false">
      <c r="B18" s="21" t="s">
        <v>459</v>
      </c>
      <c r="C18" s="38" t="n">
        <v>0</v>
      </c>
      <c r="D18" s="38" t="n">
        <v>800</v>
      </c>
      <c r="E18" s="38" t="n">
        <v>0</v>
      </c>
      <c r="F18" s="38" t="n">
        <v>0</v>
      </c>
      <c r="G18" s="38" t="n">
        <v>0</v>
      </c>
    </row>
    <row r="19" customFormat="false" ht="15" hidden="false" customHeight="false" outlineLevel="0" collapsed="false">
      <c r="B19" s="21" t="s">
        <v>460</v>
      </c>
      <c r="C19" s="53" t="n">
        <v>0</v>
      </c>
      <c r="D19" s="53" t="n">
        <v>12</v>
      </c>
      <c r="E19" s="53" t="n">
        <v>0</v>
      </c>
      <c r="F19" s="53" t="n">
        <v>0</v>
      </c>
      <c r="G19" s="53" t="n">
        <v>0</v>
      </c>
    </row>
    <row r="20" customFormat="false" ht="15" hidden="false" customHeight="false" outlineLevel="0" collapsed="false">
      <c r="B20" s="21" t="s">
        <v>461</v>
      </c>
      <c r="C20" s="38" t="n">
        <v>0</v>
      </c>
      <c r="D20" s="38" t="n">
        <v>0</v>
      </c>
      <c r="E20" s="38" t="n">
        <v>0</v>
      </c>
      <c r="F20" s="38" t="n">
        <v>0</v>
      </c>
      <c r="G20" s="38" t="n">
        <v>1000</v>
      </c>
    </row>
    <row r="22" customFormat="false" ht="15" hidden="false" customHeight="false" outlineLevel="0" collapsed="false">
      <c r="B22" s="11" t="s">
        <v>462</v>
      </c>
      <c r="C22" s="11" t="s">
        <v>442</v>
      </c>
      <c r="D22" s="11" t="s">
        <v>443</v>
      </c>
      <c r="E22" s="11" t="s">
        <v>444</v>
      </c>
      <c r="F22" s="11" t="s">
        <v>445</v>
      </c>
      <c r="G22" s="11" t="s">
        <v>446</v>
      </c>
    </row>
    <row r="23" customFormat="false" ht="78" hidden="false" customHeight="true" outlineLevel="0" collapsed="false">
      <c r="B23" s="6" t="s">
        <v>463</v>
      </c>
      <c r="C23" s="4" t="s">
        <v>464</v>
      </c>
      <c r="D23" s="4" t="s">
        <v>465</v>
      </c>
      <c r="E23" s="4" t="s">
        <v>466</v>
      </c>
      <c r="F23" s="4" t="s">
        <v>467</v>
      </c>
      <c r="G23" s="4" t="s">
        <v>468</v>
      </c>
    </row>
    <row r="24" customFormat="false" ht="78" hidden="false" customHeight="true" outlineLevel="0" collapsed="false">
      <c r="B24" s="6" t="s">
        <v>469</v>
      </c>
      <c r="C24" s="4" t="s">
        <v>470</v>
      </c>
      <c r="D24" s="4" t="s">
        <v>471</v>
      </c>
      <c r="E24" s="4" t="s">
        <v>472</v>
      </c>
      <c r="F24" s="4" t="s">
        <v>473</v>
      </c>
      <c r="G24" s="4" t="s">
        <v>474</v>
      </c>
    </row>
    <row r="25" customFormat="false" ht="78" hidden="false" customHeight="true" outlineLevel="0" collapsed="false">
      <c r="B25" s="6" t="s">
        <v>475</v>
      </c>
      <c r="C25" s="4" t="s">
        <v>476</v>
      </c>
      <c r="D25" s="4" t="s">
        <v>477</v>
      </c>
      <c r="E25" s="4" t="s">
        <v>478</v>
      </c>
      <c r="F25" s="4" t="s">
        <v>479</v>
      </c>
      <c r="G25" s="4" t="s">
        <v>480</v>
      </c>
    </row>
    <row r="27" customFormat="false" ht="15" hidden="false" customHeight="false" outlineLevel="0" collapsed="false">
      <c r="B27" s="36" t="s">
        <v>481</v>
      </c>
    </row>
    <row r="28" customFormat="false" ht="15" hidden="false" customHeight="false" outlineLevel="0" collapsed="false">
      <c r="B28" s="11" t="s">
        <v>482</v>
      </c>
      <c r="D28" s="11" t="s">
        <v>99</v>
      </c>
      <c r="E28" s="11" t="s">
        <v>100</v>
      </c>
      <c r="F28" s="11" t="s">
        <v>101</v>
      </c>
      <c r="G28" s="11" t="s">
        <v>102</v>
      </c>
    </row>
    <row r="29" customFormat="false" ht="15" hidden="false" customHeight="false" outlineLevel="0" collapsed="false">
      <c r="B29" s="21" t="s">
        <v>483</v>
      </c>
      <c r="D29" s="55" t="n">
        <f aca="false">IF(2026=sel_year,1,IF(2026=sel_year+1,C$13,0))</f>
        <v>0</v>
      </c>
      <c r="E29" s="55" t="n">
        <f aca="false">IF(2027=sel_year,1,IF(2027=sel_year+1,C$13,0))</f>
        <v>1</v>
      </c>
      <c r="F29" s="55" t="n">
        <f aca="false">IF(2028=sel_year,1,IF(2028=sel_year+1,C$13,0))</f>
        <v>0.6</v>
      </c>
      <c r="G29" s="55" t="n">
        <f aca="false">IF(2029=sel_year,1,IF(2029=sel_year+1,C$13,0))</f>
        <v>0</v>
      </c>
    </row>
    <row r="30" customFormat="false" ht="15" hidden="false" customHeight="false" outlineLevel="0" collapsed="false">
      <c r="B30" s="21" t="s">
        <v>484</v>
      </c>
      <c r="D30" s="55" t="n">
        <f aca="false">IF(2026=sel_year,1,IF(2026=sel_year+1,D$13,0))</f>
        <v>0</v>
      </c>
      <c r="E30" s="55" t="n">
        <f aca="false">IF(2027=sel_year,1,IF(2027=sel_year+1,D$13,0))</f>
        <v>1</v>
      </c>
      <c r="F30" s="55" t="n">
        <f aca="false">IF(2028=sel_year,1,IF(2028=sel_year+1,D$13,0))</f>
        <v>0.3</v>
      </c>
      <c r="G30" s="55" t="n">
        <f aca="false">IF(2029=sel_year,1,IF(2029=sel_year+1,D$13,0))</f>
        <v>0</v>
      </c>
    </row>
    <row r="31" customFormat="false" ht="15" hidden="false" customHeight="false" outlineLevel="0" collapsed="false">
      <c r="B31" s="21" t="s">
        <v>485</v>
      </c>
      <c r="D31" s="55" t="n">
        <f aca="false">IF(2026=sel_year,1,IF(2026=sel_year+1,E$13,0))</f>
        <v>0</v>
      </c>
      <c r="E31" s="55" t="n">
        <f aca="false">IF(2027=sel_year,1,IF(2027=sel_year+1,E$13,0))</f>
        <v>1</v>
      </c>
      <c r="F31" s="55" t="n">
        <f aca="false">IF(2028=sel_year,1,IF(2028=sel_year+1,E$13,0))</f>
        <v>0</v>
      </c>
      <c r="G31" s="55" t="n">
        <f aca="false">IF(2029=sel_year,1,IF(2029=sel_year+1,E$13,0))</f>
        <v>0</v>
      </c>
    </row>
    <row r="32" customFormat="false" ht="15" hidden="false" customHeight="false" outlineLevel="0" collapsed="false">
      <c r="B32" s="21" t="s">
        <v>486</v>
      </c>
      <c r="D32" s="55" t="n">
        <f aca="false">IF(2026=sel_year,1,IF(2026=sel_year+1,F$13,0))</f>
        <v>0</v>
      </c>
      <c r="E32" s="55" t="n">
        <f aca="false">IF(2027=sel_year,1,IF(2027=sel_year+1,F$13,0))</f>
        <v>1</v>
      </c>
      <c r="F32" s="55" t="n">
        <f aca="false">IF(2028=sel_year,1,IF(2028=sel_year+1,F$13,0))</f>
        <v>0.5</v>
      </c>
      <c r="G32" s="55" t="n">
        <f aca="false">IF(2029=sel_year,1,IF(2029=sel_year+1,F$13,0))</f>
        <v>0</v>
      </c>
    </row>
    <row r="33" customFormat="false" ht="15" hidden="false" customHeight="false" outlineLevel="0" collapsed="false">
      <c r="B33" s="21" t="s">
        <v>487</v>
      </c>
      <c r="D33" s="55" t="n">
        <f aca="false">IF(2026=sel_year,1,IF(2026=sel_year+1,G$13,0))</f>
        <v>0</v>
      </c>
      <c r="E33" s="55" t="n">
        <f aca="false">IF(2027=sel_year,1,IF(2027=sel_year+1,G$13,0))</f>
        <v>1</v>
      </c>
      <c r="F33" s="55" t="n">
        <f aca="false">IF(2028=sel_year,1,IF(2028=sel_year+1,G$13,0))</f>
        <v>1</v>
      </c>
      <c r="G33" s="55" t="n">
        <f aca="false">IF(2029=sel_year,1,IF(2029=sel_year+1,G$13,0))</f>
        <v>0</v>
      </c>
    </row>
    <row r="35" customFormat="false" ht="15" hidden="false" customHeight="false" outlineLevel="0" collapsed="false">
      <c r="B35" s="12" t="s">
        <v>442</v>
      </c>
      <c r="D35" s="12" t="s">
        <v>99</v>
      </c>
      <c r="E35" s="12" t="s">
        <v>100</v>
      </c>
      <c r="F35" s="12" t="s">
        <v>101</v>
      </c>
      <c r="G35" s="12" t="s">
        <v>102</v>
      </c>
    </row>
    <row r="36" customFormat="false" ht="15" hidden="false" customHeight="false" outlineLevel="0" collapsed="false">
      <c r="B36" s="21" t="s">
        <v>488</v>
      </c>
      <c r="D36" s="37" t="n">
        <f aca="false">C$6*D$29*IF(2026=2026,ef26,1)*(1-IF(sel_resp="Sí",C$14,0))</f>
        <v>-0</v>
      </c>
      <c r="E36" s="37" t="n">
        <f aca="false">C$6*E$29*IF(2027=2026,ef26,1)*(1-IF(sel_resp="Sí",C$14,0))</f>
        <v>-0.18</v>
      </c>
      <c r="F36" s="37" t="n">
        <f aca="false">C$6*F$29*IF(2028=2026,ef26,1)*(1-IF(sel_resp="Sí",C$14,0))</f>
        <v>-0.108</v>
      </c>
      <c r="G36" s="37" t="n">
        <f aca="false">C$6*G$29*IF(2029=2026,ef26,1)*(1-IF(sel_resp="Sí",C$14,0))</f>
        <v>-0</v>
      </c>
    </row>
    <row r="37" customFormat="false" ht="15" hidden="false" customHeight="false" outlineLevel="0" collapsed="false">
      <c r="B37" s="21" t="s">
        <v>489</v>
      </c>
      <c r="D37" s="37" t="n">
        <f aca="false">C$16*C$17*100*(1-IF(2026=2026,1,MIN(1,MAX(0,INDEX(Motor!$D$1:$D$600,5+(sel_idx-1)*72+5))/sub_full)))*D$29*IF(2026=2026,ef26,1)*(1-IF(sel_resp="Sí",C$14,0))</f>
        <v>0</v>
      </c>
      <c r="E37" s="37" t="n">
        <f aca="false">C$16*C$17*100*(1-IF(2027=2026,1,MIN(1,MAX(0,INDEX(Motor!$E$1:$E$600,5+(sel_idx-1)*72+5))/sub_full)))*E$29*IF(2027=2026,ef26,1)*(1-IF(sel_resp="Sí",C$14,0))</f>
        <v>0.96</v>
      </c>
      <c r="F37" s="37" t="n">
        <f aca="false">C$16*C$17*100*(1-IF(2028=2026,1,MIN(1,MAX(0,INDEX(Motor!$F$1:$F$600,5+(sel_idx-1)*72+5))/sub_full)))*F$29*IF(2028=2026,ef26,1)*(1-IF(sel_resp="Sí",C$14,0))</f>
        <v>0.72</v>
      </c>
      <c r="G37" s="37" t="n">
        <f aca="false">C$16*C$17*100*(1-IF(2029=2026,1,MIN(1,MAX(0,INDEX(Motor!$G$1:$G$600,5+(sel_idx-1)*72+5))/sub_full)))*G$29*IF(2029=2026,ef26,1)*(1-IF(sel_resp="Sí",C$14,0))</f>
        <v>0</v>
      </c>
    </row>
    <row r="38" customFormat="false" ht="15" hidden="false" customHeight="false" outlineLevel="0" collapsed="false">
      <c r="B38" s="21" t="s">
        <v>490</v>
      </c>
      <c r="D38" s="37" t="n">
        <f aca="false">-C$16*Datos_FMI!$F$26*INDEX(Motor!$D$1:$D$600,5+(sel_idx-1)*72+41)/Datos_FMI!$F$9*100*IF(2026=2026,1,MIN(1,MAX(0,INDEX(Motor!$D$1:$D$600,5+(sel_idx-1)*72+5))/sub_full))*D$29*IF(2026=2026,ef26,1)-IF(sel_resp="Sí",C$15,0)*D$29*IF(2026=2026,ef26,1)</f>
        <v>-0</v>
      </c>
      <c r="E38" s="37" t="n">
        <f aca="false">-C$16*Datos_FMI!$G$26*INDEX(Motor!$E$1:$E$600,5+(sel_idx-1)*72+41)/Datos_FMI!$G$9*100*IF(2027=2026,1,MIN(1,MAX(0,INDEX(Motor!$E$1:$E$600,5+(sel_idx-1)*72+5))/sub_full))*E$29*IF(2027=2026,ef26,1)-IF(sel_resp="Sí",C$15,0)*E$29*IF(2027=2026,ef26,1)</f>
        <v>-0.513156943659698</v>
      </c>
      <c r="F38" s="37" t="n">
        <f aca="false">-C$16*Datos_FMI!$H$26*INDEX(Motor!$F$1:$F$600,5+(sel_idx-1)*72+41)/Datos_FMI!$H$9*100*IF(2028=2026,1,MIN(1,MAX(0,INDEX(Motor!$F$1:$F$600,5+(sel_idx-1)*72+5))/sub_full))*F$29*IF(2028=2026,ef26,1)-IF(sel_resp="Sí",C$15,0)*F$29*IF(2028=2026,ef26,1)</f>
        <v>-0.09</v>
      </c>
      <c r="G38" s="37" t="n">
        <f aca="false">-C$16*Datos_FMI!$I$26*INDEX(Motor!$G$1:$G$600,5+(sel_idx-1)*72+41)/Datos_FMI!$I$9*100*IF(2029=2026,1,MIN(1,MAX(0,INDEX(Motor!$G$1:$G$600,5+(sel_idx-1)*72+5))/sub_full))*G$29*IF(2029=2026,ef26,1)-IF(sel_resp="Sí",C$15,0)*G$29*IF(2029=2026,ef26,1)</f>
        <v>-0</v>
      </c>
    </row>
    <row r="39" customFormat="false" ht="15" hidden="false" customHeight="false" outlineLevel="0" collapsed="false">
      <c r="B39" s="21" t="s">
        <v>491</v>
      </c>
      <c r="D39" s="34" t="n">
        <f aca="false">-C$16*Datos_FMI!$F$26*D$29*IF(2026=2026,ef26,1)</f>
        <v>-0</v>
      </c>
      <c r="E39" s="34" t="n">
        <f aca="false">-C$16*Datos_FMI!$G$26*E$29*IF(2027=2026,ef26,1)</f>
        <v>-803.75</v>
      </c>
      <c r="F39" s="34" t="n">
        <f aca="false">-C$16*Datos_FMI!$H$26*F$29*IF(2028=2026,ef26,1)</f>
        <v>-466.05</v>
      </c>
      <c r="G39" s="34" t="n">
        <f aca="false">-C$16*Datos_FMI!$I$26*G$29*IF(2029=2026,ef26,1)</f>
        <v>-0</v>
      </c>
    </row>
    <row r="40" customFormat="false" ht="15" hidden="false" customHeight="false" outlineLevel="0" collapsed="false">
      <c r="B40" s="21" t="s">
        <v>492</v>
      </c>
      <c r="D40" s="37" t="n">
        <f aca="false">C$10*D$29*IF(2026=2026,ef26,1)</f>
        <v>0</v>
      </c>
      <c r="E40" s="37" t="n">
        <f aca="false">C$10*E$29*IF(2027=2026,ef26,1)</f>
        <v>0</v>
      </c>
      <c r="F40" s="37" t="n">
        <f aca="false">C$10*F$29*IF(2028=2026,ef26,1)</f>
        <v>0</v>
      </c>
      <c r="G40" s="37" t="n">
        <f aca="false">C$10*G$29*IF(2029=2026,ef26,1)</f>
        <v>0</v>
      </c>
    </row>
    <row r="41" customFormat="false" ht="15" hidden="false" customHeight="false" outlineLevel="0" collapsed="false">
      <c r="B41" s="21" t="s">
        <v>493</v>
      </c>
      <c r="D41" s="34" t="n">
        <f aca="false">C$11*D$29*IF(2026=2026,ef26,1)</f>
        <v>0</v>
      </c>
      <c r="E41" s="34" t="n">
        <f aca="false">C$11*E$29*IF(2027=2026,ef26,1)</f>
        <v>0</v>
      </c>
      <c r="F41" s="34" t="n">
        <f aca="false">C$11*F$29*IF(2028=2026,ef26,1)</f>
        <v>0</v>
      </c>
      <c r="G41" s="34" t="n">
        <f aca="false">C$11*G$29*IF(2029=2026,ef26,1)</f>
        <v>0</v>
      </c>
    </row>
    <row r="42" customFormat="false" ht="15" hidden="false" customHeight="false" outlineLevel="0" collapsed="false">
      <c r="B42" s="21" t="s">
        <v>494</v>
      </c>
      <c r="D42" s="37" t="n">
        <f aca="false">C$12*D$29*IF(2026=2026,ef26,1)</f>
        <v>0</v>
      </c>
      <c r="E42" s="37" t="n">
        <f aca="false">C$12*E$29*IF(2027=2026,ef26,1)</f>
        <v>0</v>
      </c>
      <c r="F42" s="37" t="n">
        <f aca="false">C$12*F$29*IF(2028=2026,ef26,1)</f>
        <v>0</v>
      </c>
      <c r="G42" s="37" t="n">
        <f aca="false">C$12*G$29*IF(2029=2026,ef26,1)</f>
        <v>0</v>
      </c>
    </row>
    <row r="44" customFormat="false" ht="15" hidden="false" customHeight="false" outlineLevel="0" collapsed="false">
      <c r="B44" s="12" t="s">
        <v>443</v>
      </c>
      <c r="D44" s="12" t="s">
        <v>99</v>
      </c>
      <c r="E44" s="12" t="s">
        <v>100</v>
      </c>
      <c r="F44" s="12" t="s">
        <v>101</v>
      </c>
      <c r="G44" s="12" t="s">
        <v>102</v>
      </c>
    </row>
    <row r="45" customFormat="false" ht="15" hidden="false" customHeight="false" outlineLevel="0" collapsed="false">
      <c r="B45" s="21" t="s">
        <v>488</v>
      </c>
      <c r="D45" s="37" t="n">
        <f aca="false">D$6*D$30*(1-IF(sel_resp="Sí",D$14,0))</f>
        <v>-0</v>
      </c>
      <c r="E45" s="37" t="n">
        <f aca="false">D$6*E$30*(1-IF(sel_resp="Sí",D$14,0))</f>
        <v>-0.3</v>
      </c>
      <c r="F45" s="37" t="n">
        <f aca="false">D$6*F$30*(1-IF(sel_resp="Sí",D$14,0))</f>
        <v>-0.09</v>
      </c>
      <c r="G45" s="37" t="n">
        <f aca="false">D$6*G$30*(1-IF(sel_resp="Sí",D$14,0))</f>
        <v>-0</v>
      </c>
    </row>
    <row r="46" customFormat="false" ht="15" hidden="false" customHeight="false" outlineLevel="0" collapsed="false">
      <c r="B46" s="21" t="s">
        <v>489</v>
      </c>
      <c r="D46" s="37" t="n">
        <f aca="false">psi*D$19*(1-2/3*INDEX(Palancas!$D$1:$D$400,5+(sel_idx-1)*18+15))*D$30*(1-IF(sel_resp="Sí",D$14,0))</f>
        <v>0</v>
      </c>
      <c r="E46" s="37" t="n">
        <f aca="false">psi*D$19*(1-2/3*INDEX(Palancas!$D$1:$D$400,5+(sel_idx-1)*18+15))*E$30*(1-IF(sel_resp="Sí",D$14,0))</f>
        <v>1.68</v>
      </c>
      <c r="F46" s="37" t="n">
        <f aca="false">psi*D$19*(1-2/3*INDEX(Palancas!$D$1:$D$400,5+(sel_idx-1)*18+15))*F$30*(1-IF(sel_resp="Sí",D$14,0))</f>
        <v>0.504</v>
      </c>
      <c r="G46" s="37" t="n">
        <f aca="false">psi*D$19*(1-2/3*INDEX(Palancas!$D$1:$D$400,5+(sel_idx-1)*18+15))*G$30*(1-IF(sel_resp="Sí",D$14,0))</f>
        <v>0</v>
      </c>
    </row>
    <row r="47" customFormat="false" ht="15" hidden="false" customHeight="false" outlineLevel="0" collapsed="false">
      <c r="B47" s="21" t="s">
        <v>490</v>
      </c>
      <c r="D47" s="37" t="n">
        <f aca="false">D$8*D$30-IF(sel_resp="Sí",D$15,0)*D$30</f>
        <v>0</v>
      </c>
      <c r="E47" s="37" t="n">
        <f aca="false">D$8*E$30-IF(sel_resp="Sí",D$15,0)*E$30</f>
        <v>0</v>
      </c>
      <c r="F47" s="37" t="n">
        <f aca="false">D$8*F$30-IF(sel_resp="Sí",D$15,0)*F$30</f>
        <v>0</v>
      </c>
      <c r="G47" s="37" t="n">
        <f aca="false">D$8*G$30-IF(sel_resp="Sí",D$15,0)*G$30</f>
        <v>0</v>
      </c>
    </row>
    <row r="48" customFormat="false" ht="15" hidden="false" customHeight="false" outlineLevel="0" collapsed="false">
      <c r="B48" s="21" t="s">
        <v>491</v>
      </c>
      <c r="D48" s="34" t="n">
        <f aca="false">-D$18*(0.2+0.6*INDEX(Palancas!$D$1:$D$400,5+(sel_idx-1)*18+15))*D$30</f>
        <v>-0</v>
      </c>
      <c r="E48" s="34" t="n">
        <f aca="false">-D$18*(0.2+0.6*INDEX(Palancas!$D$1:$D$400,5+(sel_idx-1)*18+15))*E$30</f>
        <v>-400</v>
      </c>
      <c r="F48" s="34" t="n">
        <f aca="false">-D$18*(0.2+0.6*INDEX(Palancas!$D$1:$D$400,5+(sel_idx-1)*18+15))*F$30</f>
        <v>-120</v>
      </c>
      <c r="G48" s="34" t="n">
        <f aca="false">-D$18*(0.2+0.6*INDEX(Palancas!$D$1:$D$400,5+(sel_idx-1)*18+15))*G$30</f>
        <v>-0</v>
      </c>
    </row>
    <row r="49" customFormat="false" ht="15" hidden="false" customHeight="false" outlineLevel="0" collapsed="false">
      <c r="B49" s="21" t="s">
        <v>492</v>
      </c>
      <c r="D49" s="37" t="n">
        <f aca="false">D$10*D$30</f>
        <v>-0</v>
      </c>
      <c r="E49" s="37" t="n">
        <f aca="false">D$10*E$30</f>
        <v>-2</v>
      </c>
      <c r="F49" s="37" t="n">
        <f aca="false">D$10*F$30</f>
        <v>-0.6</v>
      </c>
      <c r="G49" s="37" t="n">
        <f aca="false">D$10*G$30</f>
        <v>-0</v>
      </c>
    </row>
    <row r="50" customFormat="false" ht="15" hidden="false" customHeight="false" outlineLevel="0" collapsed="false">
      <c r="B50" s="21" t="s">
        <v>493</v>
      </c>
      <c r="D50" s="34" t="n">
        <f aca="false">D$11*D$30</f>
        <v>0</v>
      </c>
      <c r="E50" s="34" t="n">
        <f aca="false">D$11*E$30</f>
        <v>0</v>
      </c>
      <c r="F50" s="34" t="n">
        <f aca="false">D$11*F$30</f>
        <v>0</v>
      </c>
      <c r="G50" s="34" t="n">
        <f aca="false">D$11*G$30</f>
        <v>0</v>
      </c>
    </row>
    <row r="51" customFormat="false" ht="15" hidden="false" customHeight="false" outlineLevel="0" collapsed="false">
      <c r="B51" s="21" t="s">
        <v>494</v>
      </c>
      <c r="D51" s="37" t="n">
        <f aca="false">D$12*D$30</f>
        <v>0</v>
      </c>
      <c r="E51" s="37" t="n">
        <f aca="false">D$12*E$30</f>
        <v>0</v>
      </c>
      <c r="F51" s="37" t="n">
        <f aca="false">D$12*F$30</f>
        <v>0</v>
      </c>
      <c r="G51" s="37" t="n">
        <f aca="false">D$12*G$30</f>
        <v>0</v>
      </c>
    </row>
    <row r="53" customFormat="false" ht="15" hidden="false" customHeight="false" outlineLevel="0" collapsed="false">
      <c r="B53" s="12" t="s">
        <v>444</v>
      </c>
      <c r="D53" s="12" t="s">
        <v>99</v>
      </c>
      <c r="E53" s="12" t="s">
        <v>100</v>
      </c>
      <c r="F53" s="12" t="s">
        <v>101</v>
      </c>
      <c r="G53" s="12" t="s">
        <v>102</v>
      </c>
    </row>
    <row r="54" customFormat="false" ht="15" hidden="false" customHeight="false" outlineLevel="0" collapsed="false">
      <c r="B54" s="21" t="s">
        <v>488</v>
      </c>
      <c r="D54" s="37" t="n">
        <f aca="false">E$6*D$31*(1-IF(sel_resp="Sí",E$14,0))</f>
        <v>-0</v>
      </c>
      <c r="E54" s="37" t="n">
        <f aca="false">E$6*E$31*(1-IF(sel_resp="Sí",E$14,0))</f>
        <v>-0.3</v>
      </c>
      <c r="F54" s="37" t="n">
        <f aca="false">E$6*F$31*(1-IF(sel_resp="Sí",E$14,0))</f>
        <v>-0</v>
      </c>
      <c r="G54" s="37" t="n">
        <f aca="false">E$6*G$31*(1-IF(sel_resp="Sí",E$14,0))</f>
        <v>-0</v>
      </c>
    </row>
    <row r="55" customFormat="false" ht="15" hidden="false" customHeight="false" outlineLevel="0" collapsed="false">
      <c r="B55" s="21" t="s">
        <v>489</v>
      </c>
      <c r="D55" s="37" t="n">
        <f aca="false">E$7*D$31*(1-IF(sel_resp="Sí",E$14,0))</f>
        <v>0</v>
      </c>
      <c r="E55" s="37" t="n">
        <f aca="false">E$7*E$31*(1-IF(sel_resp="Sí",E$14,0))</f>
        <v>0.75</v>
      </c>
      <c r="F55" s="37" t="n">
        <f aca="false">E$7*F$31*(1-IF(sel_resp="Sí",E$14,0))</f>
        <v>0</v>
      </c>
      <c r="G55" s="37" t="n">
        <f aca="false">E$7*G$31*(1-IF(sel_resp="Sí",E$14,0))</f>
        <v>0</v>
      </c>
    </row>
    <row r="56" customFormat="false" ht="15" hidden="false" customHeight="false" outlineLevel="0" collapsed="false">
      <c r="B56" s="21" t="s">
        <v>490</v>
      </c>
      <c r="D56" s="37" t="n">
        <f aca="false">E$8*D$31-IF(sel_resp="Sí",E$15,0)*D$31</f>
        <v>-0</v>
      </c>
      <c r="E56" s="37" t="n">
        <f aca="false">E$8*E$31-IF(sel_resp="Sí",E$15,0)*E$31</f>
        <v>-0.2</v>
      </c>
      <c r="F56" s="37" t="n">
        <f aca="false">E$8*F$31-IF(sel_resp="Sí",E$15,0)*F$31</f>
        <v>-0</v>
      </c>
      <c r="G56" s="37" t="n">
        <f aca="false">E$8*G$31-IF(sel_resp="Sí",E$15,0)*G$31</f>
        <v>-0</v>
      </c>
    </row>
    <row r="57" customFormat="false" ht="15" hidden="false" customHeight="false" outlineLevel="0" collapsed="false">
      <c r="B57" s="21" t="s">
        <v>491</v>
      </c>
      <c r="D57" s="34" t="n">
        <f aca="false">E$9*D$31</f>
        <v>-0</v>
      </c>
      <c r="E57" s="34" t="n">
        <f aca="false">E$9*E$31</f>
        <v>-100</v>
      </c>
      <c r="F57" s="34" t="n">
        <f aca="false">E$9*F$31</f>
        <v>-0</v>
      </c>
      <c r="G57" s="34" t="n">
        <f aca="false">E$9*G$31</f>
        <v>-0</v>
      </c>
    </row>
    <row r="58" customFormat="false" ht="15" hidden="false" customHeight="false" outlineLevel="0" collapsed="false">
      <c r="B58" s="21" t="s">
        <v>492</v>
      </c>
      <c r="D58" s="37" t="n">
        <f aca="false">E$10*D$31</f>
        <v>0</v>
      </c>
      <c r="E58" s="37" t="n">
        <f aca="false">E$10*E$31</f>
        <v>0</v>
      </c>
      <c r="F58" s="37" t="n">
        <f aca="false">E$10*F$31</f>
        <v>0</v>
      </c>
      <c r="G58" s="37" t="n">
        <f aca="false">E$10*G$31</f>
        <v>0</v>
      </c>
    </row>
    <row r="59" customFormat="false" ht="15" hidden="false" customHeight="false" outlineLevel="0" collapsed="false">
      <c r="B59" s="21" t="s">
        <v>493</v>
      </c>
      <c r="D59" s="34" t="n">
        <f aca="false">E$11*IF(2026=sel_year,1,0)</f>
        <v>0</v>
      </c>
      <c r="E59" s="34" t="n">
        <f aca="false">E$11*IF(2027=sel_year,1,0)</f>
        <v>0</v>
      </c>
      <c r="F59" s="34" t="n">
        <f aca="false">E$11*IF(2028=sel_year,1,0)</f>
        <v>0</v>
      </c>
      <c r="G59" s="34" t="n">
        <f aca="false">E$11*IF(2029=sel_year,1,0)</f>
        <v>0</v>
      </c>
    </row>
    <row r="60" customFormat="false" ht="15" hidden="false" customHeight="false" outlineLevel="0" collapsed="false">
      <c r="B60" s="21" t="s">
        <v>494</v>
      </c>
      <c r="D60" s="37" t="n">
        <f aca="false">E$12*IF(2026=sel_year,1,0)</f>
        <v>0</v>
      </c>
      <c r="E60" s="37" t="n">
        <f aca="false">E$12*IF(2027=sel_year,1,0)</f>
        <v>0</v>
      </c>
      <c r="F60" s="37" t="n">
        <f aca="false">E$12*IF(2028=sel_year,1,0)</f>
        <v>0</v>
      </c>
      <c r="G60" s="37" t="n">
        <f aca="false">E$12*IF(2029=sel_year,1,0)</f>
        <v>0</v>
      </c>
    </row>
    <row r="62" customFormat="false" ht="15" hidden="false" customHeight="false" outlineLevel="0" collapsed="false">
      <c r="B62" s="12" t="s">
        <v>445</v>
      </c>
      <c r="D62" s="12" t="s">
        <v>99</v>
      </c>
      <c r="E62" s="12" t="s">
        <v>100</v>
      </c>
      <c r="F62" s="12" t="s">
        <v>101</v>
      </c>
      <c r="G62" s="12" t="s">
        <v>102</v>
      </c>
    </row>
    <row r="63" customFormat="false" ht="15" hidden="false" customHeight="false" outlineLevel="0" collapsed="false">
      <c r="B63" s="21" t="s">
        <v>488</v>
      </c>
      <c r="D63" s="37" t="n">
        <f aca="false">F$6*D$32*(1-IF(sel_resp="Sí",F$14,0))</f>
        <v>-0</v>
      </c>
      <c r="E63" s="37" t="n">
        <f aca="false">F$6*E$32*(1-IF(sel_resp="Sí",F$14,0))</f>
        <v>-0.4</v>
      </c>
      <c r="F63" s="37" t="n">
        <f aca="false">F$6*F$32*(1-IF(sel_resp="Sí",F$14,0))</f>
        <v>-0.2</v>
      </c>
      <c r="G63" s="37" t="n">
        <f aca="false">F$6*G$32*(1-IF(sel_resp="Sí",F$14,0))</f>
        <v>-0</v>
      </c>
    </row>
    <row r="64" customFormat="false" ht="15" hidden="false" customHeight="false" outlineLevel="0" collapsed="false">
      <c r="B64" s="21" t="s">
        <v>489</v>
      </c>
      <c r="D64" s="37" t="n">
        <f aca="false">F$7*D$32*(1-IF(sel_resp="Sí",F$14,0))</f>
        <v>0</v>
      </c>
      <c r="E64" s="37" t="n">
        <f aca="false">F$7*E$32*(1-IF(sel_resp="Sí",F$14,0))</f>
        <v>0.25</v>
      </c>
      <c r="F64" s="37" t="n">
        <f aca="false">F$7*F$32*(1-IF(sel_resp="Sí",F$14,0))</f>
        <v>0.125</v>
      </c>
      <c r="G64" s="37" t="n">
        <f aca="false">F$7*G$32*(1-IF(sel_resp="Sí",F$14,0))</f>
        <v>0</v>
      </c>
    </row>
    <row r="65" customFormat="false" ht="15" hidden="false" customHeight="false" outlineLevel="0" collapsed="false">
      <c r="B65" s="21" t="s">
        <v>490</v>
      </c>
      <c r="D65" s="37" t="n">
        <f aca="false">F$8*D$32-IF(sel_resp="Sí",F$15,0)*D$32</f>
        <v>0</v>
      </c>
      <c r="E65" s="37" t="n">
        <f aca="false">F$8*E$32-IF(sel_resp="Sí",F$15,0)*E$32</f>
        <v>-0.2</v>
      </c>
      <c r="F65" s="37" t="n">
        <f aca="false">F$8*F$32-IF(sel_resp="Sí",F$15,0)*F$32</f>
        <v>-0.1</v>
      </c>
      <c r="G65" s="37" t="n">
        <f aca="false">F$8*G$32-IF(sel_resp="Sí",F$15,0)*G$32</f>
        <v>0</v>
      </c>
    </row>
    <row r="66" customFormat="false" ht="15" hidden="false" customHeight="false" outlineLevel="0" collapsed="false">
      <c r="B66" s="21" t="s">
        <v>491</v>
      </c>
      <c r="D66" s="34" t="n">
        <f aca="false">F$9*D$32</f>
        <v>-0</v>
      </c>
      <c r="E66" s="34" t="n">
        <f aca="false">F$9*E$32</f>
        <v>-300</v>
      </c>
      <c r="F66" s="34" t="n">
        <f aca="false">F$9*F$32</f>
        <v>-150</v>
      </c>
      <c r="G66" s="34" t="n">
        <f aca="false">F$9*G$32</f>
        <v>-0</v>
      </c>
    </row>
    <row r="67" customFormat="false" ht="15" hidden="false" customHeight="false" outlineLevel="0" collapsed="false">
      <c r="B67" s="21" t="s">
        <v>492</v>
      </c>
      <c r="D67" s="37" t="n">
        <f aca="false">F$10*D$32</f>
        <v>-0</v>
      </c>
      <c r="E67" s="37" t="n">
        <f aca="false">F$10*E$32</f>
        <v>-6</v>
      </c>
      <c r="F67" s="37" t="n">
        <f aca="false">F$10*F$32</f>
        <v>-3</v>
      </c>
      <c r="G67" s="37" t="n">
        <f aca="false">F$10*G$32</f>
        <v>-0</v>
      </c>
    </row>
    <row r="68" customFormat="false" ht="15" hidden="false" customHeight="false" outlineLevel="0" collapsed="false">
      <c r="B68" s="21" t="s">
        <v>493</v>
      </c>
      <c r="D68" s="34" t="n">
        <f aca="false">F$11*IF(2026=sel_year,1,0)</f>
        <v>0</v>
      </c>
      <c r="E68" s="34" t="n">
        <f aca="false">F$11*IF(2027=sel_year,1,0)</f>
        <v>3000</v>
      </c>
      <c r="F68" s="34" t="n">
        <f aca="false">F$11*IF(2028=sel_year,1,0)</f>
        <v>0</v>
      </c>
      <c r="G68" s="34" t="n">
        <f aca="false">F$11*IF(2029=sel_year,1,0)</f>
        <v>0</v>
      </c>
    </row>
    <row r="69" customFormat="false" ht="15" hidden="false" customHeight="false" outlineLevel="0" collapsed="false">
      <c r="B69" s="21" t="s">
        <v>494</v>
      </c>
      <c r="D69" s="37" t="n">
        <f aca="false">F$12*IF(2026=sel_year,1,0)</f>
        <v>0</v>
      </c>
      <c r="E69" s="37" t="n">
        <f aca="false">F$12*IF(2027=sel_year,1,0)</f>
        <v>0.8</v>
      </c>
      <c r="F69" s="37" t="n">
        <f aca="false">F$12*IF(2028=sel_year,1,0)</f>
        <v>0</v>
      </c>
      <c r="G69" s="37" t="n">
        <f aca="false">F$12*IF(2029=sel_year,1,0)</f>
        <v>0</v>
      </c>
    </row>
    <row r="71" customFormat="false" ht="15" hidden="false" customHeight="false" outlineLevel="0" collapsed="false">
      <c r="B71" s="12" t="s">
        <v>446</v>
      </c>
      <c r="D71" s="12" t="s">
        <v>99</v>
      </c>
      <c r="E71" s="12" t="s">
        <v>100</v>
      </c>
      <c r="F71" s="12" t="s">
        <v>101</v>
      </c>
      <c r="G71" s="12" t="s">
        <v>102</v>
      </c>
    </row>
    <row r="72" customFormat="false" ht="15" hidden="false" customHeight="false" outlineLevel="0" collapsed="false">
      <c r="B72" s="21" t="s">
        <v>488</v>
      </c>
      <c r="D72" s="37" t="n">
        <f aca="false">G$6*D$33*(1-IF(sel_resp="Sí",G$14,0))</f>
        <v>-0</v>
      </c>
      <c r="E72" s="37" t="n">
        <f aca="false">G$6*E$33*(1-IF(sel_resp="Sí",G$14,0))</f>
        <v>-0.21</v>
      </c>
      <c r="F72" s="37" t="n">
        <f aca="false">G$6*F$33*(1-IF(sel_resp="Sí",G$14,0))</f>
        <v>-0.21</v>
      </c>
      <c r="G72" s="37" t="n">
        <f aca="false">G$6*G$33*(1-IF(sel_resp="Sí",G$14,0))</f>
        <v>-0</v>
      </c>
    </row>
    <row r="73" customFormat="false" ht="15" hidden="false" customHeight="false" outlineLevel="0" collapsed="false">
      <c r="B73" s="21" t="s">
        <v>489</v>
      </c>
      <c r="D73" s="37" t="n">
        <f aca="false">G$7*D$33</f>
        <v>0</v>
      </c>
      <c r="E73" s="37" t="n">
        <f aca="false">G$7*E$33</f>
        <v>0</v>
      </c>
      <c r="F73" s="37" t="n">
        <f aca="false">G$7*F$33</f>
        <v>0</v>
      </c>
      <c r="G73" s="37" t="n">
        <f aca="false">G$7*G$33</f>
        <v>0</v>
      </c>
    </row>
    <row r="74" customFormat="false" ht="15" hidden="false" customHeight="false" outlineLevel="0" collapsed="false">
      <c r="B74" s="21" t="s">
        <v>490</v>
      </c>
      <c r="D74" s="37" t="n">
        <f aca="false">-(INDEX(Motor!$D$1:$D$600,5+(sel_idx-1)*72+8)+INDEX(Motor!$D$1:$D$600,5+(sel_idx-1)*72+9))*D$33-IF(sel_resp="Sí",G$15,0)*D$33</f>
        <v>-0</v>
      </c>
      <c r="E74" s="37" t="n">
        <f aca="false">-(INDEX(Motor!$E$1:$E$600,5+(sel_idx-1)*72+8)+INDEX(Motor!$E$1:$E$600,5+(sel_idx-1)*72+9))*E$33-IF(sel_resp="Sí",G$15,0)*E$33</f>
        <v>-0.345</v>
      </c>
      <c r="F74" s="37" t="n">
        <f aca="false">-(INDEX(Motor!$F$1:$F$600,5+(sel_idx-1)*72+8)+INDEX(Motor!$F$1:$F$600,5+(sel_idx-1)*72+9))*F$33-IF(sel_resp="Sí",G$15,0)*F$33</f>
        <v>-0.52</v>
      </c>
      <c r="G74" s="37" t="n">
        <f aca="false">-(INDEX(Motor!$G$1:$G$600,5+(sel_idx-1)*72+8)+INDEX(Motor!$G$1:$G$600,5+(sel_idx-1)*72+9))*G$33-IF(sel_resp="Sí",G$15,0)*G$33</f>
        <v>-0</v>
      </c>
    </row>
    <row r="75" customFormat="false" ht="15" hidden="false" customHeight="false" outlineLevel="0" collapsed="false">
      <c r="B75" s="21" t="s">
        <v>491</v>
      </c>
      <c r="D75" s="34" t="n">
        <f aca="false">-G$20*IF(2026=sel_year,1,0)+G$20*IF(2026=sel_year+1,1,0)</f>
        <v>0</v>
      </c>
      <c r="E75" s="34" t="n">
        <f aca="false">-G$20*IF(2027=sel_year,1,0)+G$20*IF(2027=sel_year+1,1,0)</f>
        <v>-1000</v>
      </c>
      <c r="F75" s="34" t="n">
        <f aca="false">-G$20*IF(2028=sel_year,1,0)+G$20*IF(2028=sel_year+1,1,0)</f>
        <v>1000</v>
      </c>
      <c r="G75" s="34" t="n">
        <f aca="false">-G$20*IF(2029=sel_year,1,0)+G$20*IF(2029=sel_year+1,1,0)</f>
        <v>0</v>
      </c>
    </row>
    <row r="76" customFormat="false" ht="15" hidden="false" customHeight="false" outlineLevel="0" collapsed="false">
      <c r="B76" s="21" t="s">
        <v>492</v>
      </c>
      <c r="D76" s="37" t="n">
        <f aca="false">G$10*D$33</f>
        <v>0</v>
      </c>
      <c r="E76" s="37" t="n">
        <f aca="false">G$10*E$33</f>
        <v>0</v>
      </c>
      <c r="F76" s="37" t="n">
        <f aca="false">G$10*F$33</f>
        <v>0</v>
      </c>
      <c r="G76" s="37" t="n">
        <f aca="false">G$10*G$33</f>
        <v>0</v>
      </c>
    </row>
    <row r="77" customFormat="false" ht="15" hidden="false" customHeight="false" outlineLevel="0" collapsed="false">
      <c r="B77" s="21" t="s">
        <v>493</v>
      </c>
      <c r="D77" s="34" t="n">
        <f aca="false">G$11*D$33</f>
        <v>0</v>
      </c>
      <c r="E77" s="34" t="n">
        <f aca="false">G$11*E$33</f>
        <v>0</v>
      </c>
      <c r="F77" s="34" t="n">
        <f aca="false">G$11*F$33</f>
        <v>0</v>
      </c>
      <c r="G77" s="34" t="n">
        <f aca="false">G$11*G$33</f>
        <v>0</v>
      </c>
    </row>
    <row r="78" customFormat="false" ht="15" hidden="false" customHeight="false" outlineLevel="0" collapsed="false">
      <c r="B78" s="21" t="s">
        <v>494</v>
      </c>
      <c r="D78" s="37" t="n">
        <f aca="false">G$12*D$33</f>
        <v>0</v>
      </c>
      <c r="E78" s="37" t="n">
        <f aca="false">G$12*E$33</f>
        <v>0</v>
      </c>
      <c r="F78" s="37" t="n">
        <f aca="false">G$12*F$33</f>
        <v>0</v>
      </c>
      <c r="G78" s="37" t="n">
        <f aca="false">G$12*G$33</f>
        <v>0</v>
      </c>
    </row>
    <row r="80" customFormat="false" ht="15" hidden="false" customHeight="false" outlineLevel="0" collapsed="false">
      <c r="B80" s="5" t="s">
        <v>495</v>
      </c>
      <c r="D80" s="11" t="s">
        <v>99</v>
      </c>
      <c r="E80" s="11" t="s">
        <v>100</v>
      </c>
      <c r="F80" s="11" t="s">
        <v>101</v>
      </c>
      <c r="G80" s="11" t="s">
        <v>102</v>
      </c>
    </row>
    <row r="81" customFormat="false" ht="15" hidden="false" customHeight="false" outlineLevel="0" collapsed="false">
      <c r="B81" s="6" t="s">
        <v>488</v>
      </c>
      <c r="D81" s="56" t="n">
        <f aca="false">IF(shock_idx=1,D36,0)+IF(shock_idx=2,D45,0)+IF(shock_idx=3,D54,0)+IF(shock_idx=4,D63,0)+IF(shock_idx=5,D72,0)</f>
        <v>0</v>
      </c>
      <c r="E81" s="56" t="n">
        <f aca="false">IF(shock_idx=1,E36,0)+IF(shock_idx=2,E45,0)+IF(shock_idx=3,E54,0)+IF(shock_idx=4,E63,0)+IF(shock_idx=5,E72,0)</f>
        <v>0</v>
      </c>
      <c r="F81" s="56" t="n">
        <f aca="false">IF(shock_idx=1,F36,0)+IF(shock_idx=2,F45,0)+IF(shock_idx=3,F54,0)+IF(shock_idx=4,F63,0)+IF(shock_idx=5,F72,0)</f>
        <v>0</v>
      </c>
      <c r="G81" s="56" t="n">
        <f aca="false">IF(shock_idx=1,G36,0)+IF(shock_idx=2,G45,0)+IF(shock_idx=3,G54,0)+IF(shock_idx=4,G63,0)+IF(shock_idx=5,G72,0)</f>
        <v>0</v>
      </c>
    </row>
    <row r="82" customFormat="false" ht="15" hidden="false" customHeight="false" outlineLevel="0" collapsed="false">
      <c r="B82" s="6" t="s">
        <v>489</v>
      </c>
      <c r="D82" s="56" t="n">
        <f aca="false">IF(shock_idx=1,D37,0)+IF(shock_idx=2,D46,0)+IF(shock_idx=3,D55,0)+IF(shock_idx=4,D64,0)+IF(shock_idx=5,D73,0)</f>
        <v>0</v>
      </c>
      <c r="E82" s="56" t="n">
        <f aca="false">IF(shock_idx=1,E37,0)+IF(shock_idx=2,E46,0)+IF(shock_idx=3,E55,0)+IF(shock_idx=4,E64,0)+IF(shock_idx=5,E73,0)</f>
        <v>0</v>
      </c>
      <c r="F82" s="56" t="n">
        <f aca="false">IF(shock_idx=1,F37,0)+IF(shock_idx=2,F46,0)+IF(shock_idx=3,F55,0)+IF(shock_idx=4,F64,0)+IF(shock_idx=5,F73,0)</f>
        <v>0</v>
      </c>
      <c r="G82" s="56" t="n">
        <f aca="false">IF(shock_idx=1,G37,0)+IF(shock_idx=2,G46,0)+IF(shock_idx=3,G55,0)+IF(shock_idx=4,G64,0)+IF(shock_idx=5,G73,0)</f>
        <v>0</v>
      </c>
    </row>
    <row r="83" customFormat="false" ht="15" hidden="false" customHeight="false" outlineLevel="0" collapsed="false">
      <c r="B83" s="6" t="s">
        <v>490</v>
      </c>
      <c r="D83" s="56" t="n">
        <f aca="false">IF(shock_idx=1,D38,0)+IF(shock_idx=2,D47,0)+IF(shock_idx=3,D56,0)+IF(shock_idx=4,D65,0)+IF(shock_idx=5,D74,0)</f>
        <v>0</v>
      </c>
      <c r="E83" s="56" t="n">
        <f aca="false">IF(shock_idx=1,E38,0)+IF(shock_idx=2,E47,0)+IF(shock_idx=3,E56,0)+IF(shock_idx=4,E65,0)+IF(shock_idx=5,E74,0)</f>
        <v>0</v>
      </c>
      <c r="F83" s="56" t="n">
        <f aca="false">IF(shock_idx=1,F38,0)+IF(shock_idx=2,F47,0)+IF(shock_idx=3,F56,0)+IF(shock_idx=4,F65,0)+IF(shock_idx=5,F74,0)</f>
        <v>0</v>
      </c>
      <c r="G83" s="56" t="n">
        <f aca="false">IF(shock_idx=1,G38,0)+IF(shock_idx=2,G47,0)+IF(shock_idx=3,G56,0)+IF(shock_idx=4,G65,0)+IF(shock_idx=5,G74,0)</f>
        <v>0</v>
      </c>
    </row>
    <row r="84" customFormat="false" ht="15" hidden="false" customHeight="false" outlineLevel="0" collapsed="false">
      <c r="B84" s="6" t="s">
        <v>491</v>
      </c>
      <c r="D84" s="57" t="n">
        <f aca="false">IF(shock_idx=1,D39,0)+IF(shock_idx=2,D48,0)+IF(shock_idx=3,D57,0)+IF(shock_idx=4,D66,0)+IF(shock_idx=5,D75,0)</f>
        <v>0</v>
      </c>
      <c r="E84" s="57" t="n">
        <f aca="false">IF(shock_idx=1,E39,0)+IF(shock_idx=2,E48,0)+IF(shock_idx=3,E57,0)+IF(shock_idx=4,E66,0)+IF(shock_idx=5,E75,0)</f>
        <v>0</v>
      </c>
      <c r="F84" s="57" t="n">
        <f aca="false">IF(shock_idx=1,F39,0)+IF(shock_idx=2,F48,0)+IF(shock_idx=3,F57,0)+IF(shock_idx=4,F66,0)+IF(shock_idx=5,F75,0)</f>
        <v>0</v>
      </c>
      <c r="G84" s="57" t="n">
        <f aca="false">IF(shock_idx=1,G39,0)+IF(shock_idx=2,G48,0)+IF(shock_idx=3,G57,0)+IF(shock_idx=4,G66,0)+IF(shock_idx=5,G75,0)</f>
        <v>0</v>
      </c>
    </row>
    <row r="85" customFormat="false" ht="15" hidden="false" customHeight="false" outlineLevel="0" collapsed="false">
      <c r="B85" s="6" t="s">
        <v>492</v>
      </c>
      <c r="D85" s="56" t="n">
        <f aca="false">IF(shock_idx=1,D40,0)+IF(shock_idx=2,D49,0)+IF(shock_idx=3,D58,0)+IF(shock_idx=4,D67,0)+IF(shock_idx=5,D76,0)</f>
        <v>0</v>
      </c>
      <c r="E85" s="56" t="n">
        <f aca="false">IF(shock_idx=1,E40,0)+IF(shock_idx=2,E49,0)+IF(shock_idx=3,E58,0)+IF(shock_idx=4,E67,0)+IF(shock_idx=5,E76,0)</f>
        <v>0</v>
      </c>
      <c r="F85" s="56" t="n">
        <f aca="false">IF(shock_idx=1,F40,0)+IF(shock_idx=2,F49,0)+IF(shock_idx=3,F58,0)+IF(shock_idx=4,F67,0)+IF(shock_idx=5,F76,0)</f>
        <v>0</v>
      </c>
      <c r="G85" s="56" t="n">
        <f aca="false">IF(shock_idx=1,G40,0)+IF(shock_idx=2,G49,0)+IF(shock_idx=3,G58,0)+IF(shock_idx=4,G67,0)+IF(shock_idx=5,G76,0)</f>
        <v>0</v>
      </c>
    </row>
    <row r="86" customFormat="false" ht="15" hidden="false" customHeight="false" outlineLevel="0" collapsed="false">
      <c r="B86" s="6" t="s">
        <v>493</v>
      </c>
      <c r="D86" s="57" t="n">
        <f aca="false">IF(shock_idx=1,D41,0)+IF(shock_idx=2,D50,0)+IF(shock_idx=3,D59,0)+IF(shock_idx=4,D68,0)+IF(shock_idx=5,D77,0)</f>
        <v>0</v>
      </c>
      <c r="E86" s="57" t="n">
        <f aca="false">IF(shock_idx=1,E41,0)+IF(shock_idx=2,E50,0)+IF(shock_idx=3,E59,0)+IF(shock_idx=4,E68,0)+IF(shock_idx=5,E77,0)</f>
        <v>0</v>
      </c>
      <c r="F86" s="57" t="n">
        <f aca="false">IF(shock_idx=1,F41,0)+IF(shock_idx=2,F50,0)+IF(shock_idx=3,F59,0)+IF(shock_idx=4,F68,0)+IF(shock_idx=5,F77,0)</f>
        <v>0</v>
      </c>
      <c r="G86" s="57" t="n">
        <f aca="false">IF(shock_idx=1,G41,0)+IF(shock_idx=2,G50,0)+IF(shock_idx=3,G59,0)+IF(shock_idx=4,G68,0)+IF(shock_idx=5,G77,0)</f>
        <v>0</v>
      </c>
    </row>
    <row r="87" customFormat="false" ht="15" hidden="false" customHeight="false" outlineLevel="0" collapsed="false">
      <c r="B87" s="6" t="s">
        <v>494</v>
      </c>
      <c r="D87" s="56" t="n">
        <f aca="false">IF(shock_idx=1,D42,0)+IF(shock_idx=2,D51,0)+IF(shock_idx=3,D60,0)+IF(shock_idx=4,D69,0)+IF(shock_idx=5,D78,0)</f>
        <v>0</v>
      </c>
      <c r="E87" s="56" t="n">
        <f aca="false">IF(shock_idx=1,E42,0)+IF(shock_idx=2,E51,0)+IF(shock_idx=3,E60,0)+IF(shock_idx=4,E69,0)+IF(shock_idx=5,E78,0)</f>
        <v>0</v>
      </c>
      <c r="F87" s="56" t="n">
        <f aca="false">IF(shock_idx=1,F42,0)+IF(shock_idx=2,F51,0)+IF(shock_idx=3,F60,0)+IF(shock_idx=4,F69,0)+IF(shock_idx=5,F78,0)</f>
        <v>0</v>
      </c>
      <c r="G87" s="56" t="n">
        <f aca="false">IF(shock_idx=1,G42,0)+IF(shock_idx=2,G51,0)+IF(shock_idx=3,G60,0)+IF(shock_idx=4,G69,0)+IF(shock_idx=5,G78,0)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C1"/>
    <pageSetUpPr fitToPage="false"/>
  </sheetPr>
  <dimension ref="B2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11" min="3" style="0" width="12"/>
  </cols>
  <sheetData>
    <row r="2" customFormat="false" ht="18.55" hidden="false" customHeight="false" outlineLevel="0" collapsed="false">
      <c r="B2" s="1" t="s">
        <v>496</v>
      </c>
    </row>
    <row r="3" customFormat="false" ht="15" hidden="false" customHeight="false" outlineLevel="0" collapsed="false">
      <c r="B3" s="2" t="s">
        <v>497</v>
      </c>
    </row>
    <row r="4" customFormat="false" ht="15" hidden="false" customHeight="false" outlineLevel="0" collapsed="false">
      <c r="B4" s="58" t="str">
        <f aca="false">"Escenario: "&amp;sel_scen&amp;"  ·  Shock: "&amp;sel_shock&amp;IF(shock_idx&gt;0," ("&amp;sel_year&amp;", respuesta: "&amp;sel_resp&amp;")","")</f>
        <v>Escenario: E6 Alternativo integrado  ·  Shock: Ninguno</v>
      </c>
    </row>
    <row r="6" customFormat="false" ht="15" hidden="false" customHeight="false" outlineLevel="0" collapsed="false">
      <c r="B6" s="11" t="s">
        <v>62</v>
      </c>
      <c r="C6" s="11" t="s">
        <v>63</v>
      </c>
      <c r="D6" s="11" t="s">
        <v>64</v>
      </c>
      <c r="E6" s="11" t="s">
        <v>65</v>
      </c>
      <c r="F6" s="11" t="s">
        <v>66</v>
      </c>
      <c r="G6" s="12" t="s">
        <v>67</v>
      </c>
      <c r="H6" s="12" t="s">
        <v>68</v>
      </c>
      <c r="I6" s="12" t="s">
        <v>69</v>
      </c>
      <c r="J6" s="12" t="s">
        <v>70</v>
      </c>
    </row>
    <row r="7" customFormat="false" ht="15" hidden="false" customHeight="false" outlineLevel="0" collapsed="false">
      <c r="B7" s="21" t="s">
        <v>498</v>
      </c>
      <c r="C7" s="16" t="n">
        <f aca="false">Motor!$D$29</f>
        <v>-3</v>
      </c>
      <c r="D7" s="16" t="n">
        <f aca="false">Motor!$E$29</f>
        <v>-1.5</v>
      </c>
      <c r="E7" s="16" t="n">
        <f aca="false">Motor!$F$29</f>
        <v>0.5</v>
      </c>
      <c r="F7" s="16" t="n">
        <f aca="false">Motor!$G$29</f>
        <v>2.5</v>
      </c>
      <c r="G7" s="56" t="n">
        <f aca="false">INDEX(Motor!$D$1:$D$600,5+(sel_idx-1)*72+24)+Shocks!D$81</f>
        <v>-2.97175</v>
      </c>
      <c r="H7" s="56" t="n">
        <f aca="false">INDEX(Motor!$E$1:$E$600,5+(sel_idx-1)*72+24)+Shocks!E$81</f>
        <v>-0.808</v>
      </c>
      <c r="I7" s="56" t="n">
        <f aca="false">INDEX(Motor!$F$1:$F$600,5+(sel_idx-1)*72+24)+Shocks!F$81</f>
        <v>1.059</v>
      </c>
      <c r="J7" s="56" t="n">
        <f aca="false">INDEX(Motor!$G$1:$G$600,5+(sel_idx-1)*72+24)+Shocks!G$81</f>
        <v>2.861</v>
      </c>
    </row>
    <row r="8" customFormat="false" ht="15" hidden="false" customHeight="false" outlineLevel="0" collapsed="false">
      <c r="B8" s="21" t="s">
        <v>499</v>
      </c>
      <c r="C8" s="16" t="n">
        <f aca="false">Motor!$D$48</f>
        <v>12.7</v>
      </c>
      <c r="D8" s="16" t="n">
        <f aca="false">Motor!$E$48</f>
        <v>15.8</v>
      </c>
      <c r="E8" s="16" t="n">
        <f aca="false">Motor!$F$48</f>
        <v>8.2</v>
      </c>
      <c r="F8" s="16" t="n">
        <f aca="false">Motor!$G$48</f>
        <v>7.3</v>
      </c>
      <c r="G8" s="56" t="n">
        <f aca="false">INDEX(Motor!$D$1:$D$600,5+(sel_idx-1)*72+43)+Shocks!D$82</f>
        <v>12.7105625</v>
      </c>
      <c r="H8" s="56" t="n">
        <f aca="false">INDEX(Motor!$E$1:$E$600,5+(sel_idx-1)*72+43)+Shocks!E$82</f>
        <v>15.8265</v>
      </c>
      <c r="I8" s="56" t="n">
        <f aca="false">INDEX(Motor!$F$1:$F$600,5+(sel_idx-1)*72+43)+Shocks!F$82</f>
        <v>8.31375</v>
      </c>
      <c r="J8" s="56" t="n">
        <f aca="false">INDEX(Motor!$G$1:$G$600,5+(sel_idx-1)*72+43)+Shocks!G$82</f>
        <v>7.32725</v>
      </c>
    </row>
    <row r="9" customFormat="false" ht="15" hidden="false" customHeight="false" outlineLevel="0" collapsed="false">
      <c r="B9" s="21" t="s">
        <v>500</v>
      </c>
      <c r="C9" s="16" t="n">
        <f aca="false">Motor!$D$49</f>
        <v>14.2</v>
      </c>
      <c r="D9" s="16" t="n">
        <f aca="false">Motor!$E$49</f>
        <v>10.7</v>
      </c>
      <c r="E9" s="16" t="n">
        <f aca="false">Motor!$F$49</f>
        <v>8.7</v>
      </c>
      <c r="F9" s="16" t="n">
        <f aca="false">Motor!$G$49</f>
        <v>6.2</v>
      </c>
      <c r="G9" s="56" t="n">
        <f aca="false">INDEX(Motor!$D$1:$D$600,5+(sel_idx-1)*72+44)+Shocks!D$82</f>
        <v>14.2105625</v>
      </c>
      <c r="H9" s="56" t="n">
        <f aca="false">INDEX(Motor!$E$1:$E$600,5+(sel_idx-1)*72+44)+Shocks!E$82</f>
        <v>10.7265</v>
      </c>
      <c r="I9" s="56" t="n">
        <f aca="false">INDEX(Motor!$F$1:$F$600,5+(sel_idx-1)*72+44)+Shocks!F$82</f>
        <v>8.81375</v>
      </c>
      <c r="J9" s="56" t="n">
        <f aca="false">INDEX(Motor!$G$1:$G$600,5+(sel_idx-1)*72+44)+Shocks!G$82</f>
        <v>6.22725</v>
      </c>
    </row>
    <row r="10" customFormat="false" ht="15" hidden="false" customHeight="false" outlineLevel="0" collapsed="false">
      <c r="B10" s="21" t="s">
        <v>501</v>
      </c>
      <c r="C10" s="16" t="n">
        <f aca="false">Motor!$D$33</f>
        <v>-6.5</v>
      </c>
      <c r="D10" s="16" t="n">
        <f aca="false">Motor!$E$33</f>
        <v>-3</v>
      </c>
      <c r="E10" s="16" t="n">
        <f aca="false">Motor!$F$33</f>
        <v>-0.3</v>
      </c>
      <c r="F10" s="16" t="n">
        <f aca="false">Motor!$G$33</f>
        <v>0.6</v>
      </c>
      <c r="G10" s="56" t="n">
        <f aca="false">INDEX(Motor!$D$1:$D$600,5+(sel_idx-1)*72+28)+Shocks!D$83+auto*Shocks!D$81</f>
        <v>-6.47685</v>
      </c>
      <c r="H10" s="56" t="n">
        <f aca="false">INDEX(Motor!$E$1:$E$600,5+(sel_idx-1)*72+28)+Shocks!E$83+auto*Shocks!E$81</f>
        <v>-2.8866</v>
      </c>
      <c r="I10" s="56" t="n">
        <f aca="false">INDEX(Motor!$F$1:$F$600,5+(sel_idx-1)*72+28)+Shocks!F$83+auto*Shocks!F$81</f>
        <v>0.4518</v>
      </c>
      <c r="J10" s="56" t="n">
        <f aca="false">INDEX(Motor!$G$1:$G$600,5+(sel_idx-1)*72+28)+Shocks!G$83+auto*Shocks!G$81</f>
        <v>1.6622</v>
      </c>
    </row>
    <row r="11" customFormat="false" ht="15" hidden="false" customHeight="false" outlineLevel="0" collapsed="false">
      <c r="B11" s="21" t="s">
        <v>502</v>
      </c>
      <c r="C11" s="14" t="n">
        <f aca="false">Motor!$D$34</f>
        <v>-32869</v>
      </c>
      <c r="D11" s="14" t="n">
        <f aca="false">Motor!$E$34</f>
        <v>-17466</v>
      </c>
      <c r="E11" s="14" t="n">
        <f aca="false">Motor!$F$34</f>
        <v>-1861.113</v>
      </c>
      <c r="F11" s="14" t="n">
        <f aca="false">Motor!$G$34</f>
        <v>4067.604</v>
      </c>
      <c r="G11" s="57" t="n">
        <f aca="false">INDEX(Motor!$D$1:$D$600,5+(sel_idx-1)*72+29)+(Shocks!D$83+auto*Shocks!D$81)/100*Datos_FMI!$F$9</f>
        <v>-32751.7704835</v>
      </c>
      <c r="H11" s="57" t="n">
        <f aca="false">INDEX(Motor!$E$1:$E$600,5+(sel_idx-1)*72+29)+(Shocks!E$83+auto*Shocks!E$81)/100*Datos_FMI!$G$9</f>
        <v>-16810.208934</v>
      </c>
      <c r="I11" s="57" t="n">
        <f aca="false">INDEX(Motor!$F$1:$F$600,5+(sel_idx-1)*72+29)+(Shocks!F$83+auto*Shocks!F$81)/100*Datos_FMI!$H$9</f>
        <v>2802.836178</v>
      </c>
      <c r="J11" s="57" t="n">
        <f aca="false">INDEX(Motor!$G$1:$G$600,5+(sel_idx-1)*72+29)+(Shocks!G$83+auto*Shocks!G$81)/100*Datos_FMI!$I$9</f>
        <v>11268.618948</v>
      </c>
    </row>
    <row r="12" customFormat="false" ht="15" hidden="false" customHeight="false" outlineLevel="0" collapsed="false">
      <c r="B12" s="21" t="s">
        <v>503</v>
      </c>
      <c r="C12" s="16" t="n">
        <f aca="false">Motor!$D$37</f>
        <v>-9.2</v>
      </c>
      <c r="D12" s="16" t="n">
        <f aca="false">Motor!$E$37</f>
        <v>-6.7</v>
      </c>
      <c r="E12" s="16" t="n">
        <f aca="false">Motor!$F$37</f>
        <v>-4</v>
      </c>
      <c r="F12" s="16" t="n">
        <f aca="false">Motor!$G$37</f>
        <v>-3.2</v>
      </c>
      <c r="G12" s="56" t="n">
        <f aca="false">INDEX(Motor!$D$1:$D$600,5+(sel_idx-1)*72+32)+Shocks!D$83+auto*Shocks!D$81</f>
        <v>-9.17685</v>
      </c>
      <c r="H12" s="56" t="n">
        <f aca="false">INDEX(Motor!$E$1:$E$600,5+(sel_idx-1)*72+32)+Shocks!E$83+auto*Shocks!E$81</f>
        <v>-6.58528235660575</v>
      </c>
      <c r="I12" s="56" t="n">
        <f aca="false">INDEX(Motor!$F$1:$F$600,5+(sel_idx-1)*72+32)+Shocks!F$83+auto*Shocks!F$81</f>
        <v>-3.22197377286016</v>
      </c>
      <c r="J12" s="56" t="n">
        <f aca="false">INDEX(Motor!$G$1:$G$600,5+(sel_idx-1)*72+32)+Shocks!G$83+auto*Shocks!G$81</f>
        <v>-2.04395104890273</v>
      </c>
    </row>
    <row r="13" customFormat="false" ht="15" hidden="false" customHeight="false" outlineLevel="0" collapsed="false">
      <c r="B13" s="21" t="s">
        <v>504</v>
      </c>
      <c r="C13" s="16" t="n">
        <f aca="false">Motor!$D$55</f>
        <v>100.477694113837</v>
      </c>
      <c r="D13" s="16" t="n">
        <f aca="false">Motor!$E$55</f>
        <v>95.3612231734795</v>
      </c>
      <c r="E13" s="16" t="n">
        <f aca="false">Motor!$F$55</f>
        <v>93.1855293042389</v>
      </c>
      <c r="F13" s="16" t="n">
        <f aca="false">Motor!$G$55</f>
        <v>89.2033737797485</v>
      </c>
      <c r="G13" s="56" t="n">
        <f aca="false">INDEX(Motor!$D$1:$D$600,5+(sel_idx-1)*72+50)-(Shocks!D$83)-auto*(Shocks!D$81)+(Shocks!D$87)</f>
        <v>100.415567325462</v>
      </c>
      <c r="H13" s="56" t="n">
        <f aca="false">INDEX(Motor!$E$1:$E$600,5+(sel_idx-1)*72+50)-(Shocks!D$83+Shocks!E$83)-auto*(Shocks!D$81+Shocks!E$81)+(Shocks!D$87+Shocks!E$87)</f>
        <v>94.2146383021112</v>
      </c>
      <c r="I13" s="56" t="n">
        <f aca="false">INDEX(Motor!$F$1:$F$600,5+(sel_idx-1)*72+50)-(Shocks!D$83+Shocks!E$83+Shocks!F$83)-auto*(Shocks!D$81+Shocks!E$81+Shocks!F$81)+(Shocks!D$87+Shocks!E$87+Shocks!F$87)</f>
        <v>90.3144338918579</v>
      </c>
      <c r="J13" s="56" t="n">
        <f aca="false">INDEX(Motor!$G$1:$G$600,5+(sel_idx-1)*72+50)-(Shocks!D$83+Shocks!E$83+Shocks!F$83+Shocks!G$83)-auto*(Shocks!D$81+Shocks!E$81+Shocks!F$81+Shocks!G$81)+(Shocks!D$87+Shocks!E$87+Shocks!F$87+Shocks!G$87)</f>
        <v>84.8469226445931</v>
      </c>
    </row>
    <row r="14" customFormat="false" ht="15" hidden="false" customHeight="false" outlineLevel="0" collapsed="false">
      <c r="B14" s="21" t="s">
        <v>505</v>
      </c>
      <c r="C14" s="14" t="n">
        <f aca="false">Motor!$D$59</f>
        <v>-581</v>
      </c>
      <c r="D14" s="14" t="n">
        <f aca="false">Motor!$E$59</f>
        <v>744</v>
      </c>
      <c r="E14" s="14" t="n">
        <f aca="false">Motor!$F$59</f>
        <v>1304</v>
      </c>
      <c r="F14" s="14" t="n">
        <f aca="false">Motor!$G$59</f>
        <v>1878</v>
      </c>
      <c r="G14" s="57" t="n">
        <f aca="false">INDEX(Motor!$D$1:$D$600,5+(sel_idx-1)*72+54)+(Shocks!D$84)</f>
        <v>-586.293485</v>
      </c>
      <c r="H14" s="57" t="n">
        <f aca="false">INDEX(Motor!$E$1:$E$600,5+(sel_idx-1)*72+54)+(Shocks!D$84+Shocks!E$84)</f>
        <v>703.749120531915</v>
      </c>
      <c r="I14" s="57" t="n">
        <f aca="false">INDEX(Motor!$F$1:$F$600,5+(sel_idx-1)*72+54)+(Shocks!D$84+Shocks!E$84+Shocks!F$84)</f>
        <v>1302.88265053192</v>
      </c>
      <c r="J14" s="57" t="n">
        <f aca="false">INDEX(Motor!$G$1:$G$600,5+(sel_idx-1)*72+54)+(Shocks!D$84+Shocks!E$84+Shocks!F$84+Shocks!G$84)</f>
        <v>1800.85605053192</v>
      </c>
    </row>
    <row r="15" customFormat="false" ht="15" hidden="false" customHeight="false" outlineLevel="0" collapsed="false">
      <c r="B15" s="21" t="s">
        <v>506</v>
      </c>
      <c r="C15" s="59" t="n">
        <f aca="false">Motor!$D$61</f>
        <v>53.4</v>
      </c>
      <c r="D15" s="59" t="n">
        <f aca="false">Motor!$E$61</f>
        <v>86.1</v>
      </c>
      <c r="E15" s="59" t="n">
        <f aca="false">Motor!$F$61</f>
        <v>100.1</v>
      </c>
      <c r="F15" s="59" t="n">
        <f aca="false">Motor!$G$61</f>
        <v>112.3</v>
      </c>
      <c r="G15" s="60" t="n">
        <f aca="false">INDEX(Motor!$D$1:$D$600,5+(sel_idx-1)*72+56)*(1+(Shocks!D$84)/INDEX(Motor!$D$1:$D$600,5+(sel_idx-1)*72+55))</f>
        <v>53.2849991460537</v>
      </c>
      <c r="H15" s="60" t="n">
        <f aca="false">INDEX(Motor!$E$1:$E$600,5+(sel_idx-1)*72+56)*(1+(Shocks!D$84+Shocks!E$84)/INDEX(Motor!$E$1:$E$600,5+(sel_idx-1)*72+55))</f>
        <v>85.2296833947257</v>
      </c>
      <c r="I15" s="60" t="n">
        <f aca="false">INDEX(Motor!$F$1:$F$600,5+(sel_idx-1)*72+56)*(1+(Shocks!D$84+Shocks!E$84+Shocks!F$84)/INDEX(Motor!$F$1:$F$600,5+(sel_idx-1)*72+55))</f>
        <v>100.076152093442</v>
      </c>
      <c r="J15" s="60" t="n">
        <f aca="false">INDEX(Motor!$G$1:$G$600,5+(sel_idx-1)*72+56)*(1+(Shocks!D$84+Shocks!E$84+Shocks!F$84+Shocks!G$84)/INDEX(Motor!$G$1:$G$600,5+(sel_idx-1)*72+55))</f>
        <v>110.732555540933</v>
      </c>
    </row>
    <row r="16" customFormat="false" ht="15" hidden="false" customHeight="false" outlineLevel="0" collapsed="false">
      <c r="B16" s="21" t="s">
        <v>507</v>
      </c>
      <c r="C16" s="16" t="n">
        <f aca="false">Motor!$D$63</f>
        <v>4</v>
      </c>
      <c r="D16" s="16" t="n">
        <f aca="false">Motor!$E$63</f>
        <v>7.3</v>
      </c>
      <c r="E16" s="16" t="n">
        <f aca="false">Motor!$F$63</f>
        <v>7.3</v>
      </c>
      <c r="F16" s="16" t="n">
        <f aca="false">Motor!$G$63</f>
        <v>9.5</v>
      </c>
      <c r="G16" s="56" t="n">
        <f aca="false">INDEX(Motor!$D$1:$D$600,5+(sel_idx-1)*72+58)+Shocks!D$85</f>
        <v>4.25</v>
      </c>
      <c r="H16" s="56" t="n">
        <f aca="false">INDEX(Motor!$E$1:$E$600,5+(sel_idx-1)*72+58)+Shocks!E$85</f>
        <v>10.55</v>
      </c>
      <c r="I16" s="56" t="n">
        <f aca="false">INDEX(Motor!$F$1:$F$600,5+(sel_idx-1)*72+58)+Shocks!F$85</f>
        <v>10.3</v>
      </c>
      <c r="J16" s="56" t="n">
        <f aca="false">INDEX(Motor!$G$1:$G$600,5+(sel_idx-1)*72+58)+Shocks!G$85</f>
        <v>11.5</v>
      </c>
    </row>
    <row r="17" customFormat="false" ht="15" hidden="false" customHeight="false" outlineLevel="0" collapsed="false">
      <c r="B17" s="21" t="s">
        <v>508</v>
      </c>
      <c r="C17" s="14" t="n">
        <f aca="false">Motor!$D$66</f>
        <v>133900</v>
      </c>
      <c r="D17" s="14" t="n">
        <f aca="false">Motor!$E$66</f>
        <v>148333</v>
      </c>
      <c r="E17" s="14" t="n">
        <f aca="false">Motor!$F$66</f>
        <v>161304</v>
      </c>
      <c r="F17" s="14" t="n">
        <f aca="false">Motor!$G$66</f>
        <v>177013</v>
      </c>
      <c r="G17" s="57" t="n">
        <f aca="false">INDEX(Motor!$D$1:$D$600,5+(sel_idx-1)*72+61)+Shocks!D$86</f>
        <v>133900</v>
      </c>
      <c r="H17" s="57" t="n">
        <f aca="false">INDEX(Motor!$E$1:$E$600,5+(sel_idx-1)*72+61)+Shocks!E$86</f>
        <v>149074.665</v>
      </c>
      <c r="I17" s="57" t="n">
        <f aca="false">INDEX(Motor!$F$1:$F$600,5+(sel_idx-1)*72+61)+Shocks!F$86</f>
        <v>162110.52</v>
      </c>
      <c r="J17" s="57" t="n">
        <f aca="false">INDEX(Motor!$G$1:$G$600,5+(sel_idx-1)*72+61)+Shocks!G$86</f>
        <v>177898.065</v>
      </c>
    </row>
    <row r="18" customFormat="false" ht="15" hidden="false" customHeight="false" outlineLevel="0" collapsed="false">
      <c r="B18" s="21" t="s">
        <v>509</v>
      </c>
      <c r="C18" s="14" t="n">
        <f aca="false">Motor!$D$42</f>
        <v>0</v>
      </c>
      <c r="D18" s="14" t="n">
        <f aca="false">Motor!$E$42</f>
        <v>0</v>
      </c>
      <c r="E18" s="14" t="n">
        <f aca="false">Motor!$F$42</f>
        <v>0</v>
      </c>
      <c r="F18" s="14" t="n">
        <f aca="false">Motor!$G$42</f>
        <v>0</v>
      </c>
      <c r="G18" s="57" t="n">
        <f aca="false">INDEX(Motor!$D$1:$D$600,5+(sel_idx-1)*72+37)</f>
        <v>0</v>
      </c>
      <c r="H18" s="57" t="n">
        <f aca="false">INDEX(Motor!$E$1:$E$600,5+(sel_idx-1)*72+37)</f>
        <v>0</v>
      </c>
      <c r="I18" s="57" t="n">
        <f aca="false">INDEX(Motor!$F$1:$F$600,5+(sel_idx-1)*72+37)</f>
        <v>0</v>
      </c>
      <c r="J18" s="57" t="n">
        <f aca="false">INDEX(Motor!$G$1:$G$600,5+(sel_idx-1)*72+37)</f>
        <v>0</v>
      </c>
    </row>
    <row r="19" customFormat="false" ht="15" hidden="false" customHeight="false" outlineLevel="0" collapsed="false">
      <c r="B19" s="21" t="s">
        <v>510</v>
      </c>
      <c r="C19" s="14" t="n">
        <f aca="false">Motor!$D$68</f>
        <v>10890</v>
      </c>
      <c r="D19" s="14" t="n">
        <f aca="false">Motor!$E$68</f>
        <v>12722.578</v>
      </c>
      <c r="E19" s="14" t="n">
        <f aca="false">Motor!$F$68</f>
        <v>8064.823</v>
      </c>
      <c r="F19" s="14" t="n">
        <f aca="false">Motor!$G$68</f>
        <v>8813.142</v>
      </c>
      <c r="G19" s="57" t="n">
        <f aca="false">INDEX(Motor!$D$1:$D$600,5+(sel_idx-1)*72+63)</f>
        <v>10890</v>
      </c>
      <c r="H19" s="57" t="n">
        <f aca="false">INDEX(Motor!$E$1:$E$600,5+(sel_idx-1)*72+63)</f>
        <v>14168.3255</v>
      </c>
      <c r="I19" s="57" t="n">
        <f aca="false">INDEX(Motor!$F$1:$F$600,5+(sel_idx-1)*72+63)</f>
        <v>9305.565</v>
      </c>
      <c r="J19" s="57" t="n">
        <f aca="false">INDEX(Motor!$G$1:$G$600,5+(sel_idx-1)*72+63)</f>
        <v>9830.043</v>
      </c>
    </row>
    <row r="20" customFormat="false" ht="15" hidden="false" customHeight="false" outlineLevel="0" collapsed="false">
      <c r="B20" s="21" t="s">
        <v>511</v>
      </c>
      <c r="C20" s="14" t="n">
        <f aca="false">Motor!$D$69</f>
        <v>0</v>
      </c>
      <c r="D20" s="14" t="n">
        <f aca="false">Motor!$E$69</f>
        <v>0</v>
      </c>
      <c r="E20" s="14" t="n">
        <f aca="false">Motor!$F$69</f>
        <v>0</v>
      </c>
      <c r="F20" s="14" t="n">
        <f aca="false">Motor!$G$69</f>
        <v>0</v>
      </c>
      <c r="G20" s="57" t="n">
        <f aca="false">INDEX(Motor!$D$1:$D$600,5+(sel_idx-1)*72+64)+emp_el*(Shocks!D$81)/100*pea</f>
        <v>0.904</v>
      </c>
      <c r="H20" s="57" t="n">
        <f aca="false">INDEX(Motor!$E$1:$E$600,5+(sel_idx-1)*72+64)+emp_el*(Shocks!D$81+Shocks!E$81)/100*pea</f>
        <v>23.048</v>
      </c>
      <c r="I20" s="57" t="n">
        <f aca="false">INDEX(Motor!$F$1:$F$600,5+(sel_idx-1)*72+64)+emp_el*(Shocks!D$81+Shocks!E$81+Shocks!F$81)/100*pea</f>
        <v>40.936</v>
      </c>
      <c r="J20" s="57" t="n">
        <f aca="false">INDEX(Motor!$G$1:$G$600,5+(sel_idx-1)*72+64)+emp_el*(Shocks!D$81+Shocks!E$81+Shocks!F$81+Shocks!G$81)/100*pea</f>
        <v>52.488</v>
      </c>
    </row>
    <row r="21" customFormat="false" ht="15" hidden="false" customHeight="false" outlineLevel="0" collapsed="false">
      <c r="B21" s="21" t="s">
        <v>512</v>
      </c>
      <c r="C21" s="16" t="n">
        <f aca="false">Motor!$D$70</f>
        <v>0</v>
      </c>
      <c r="D21" s="16" t="n">
        <f aca="false">Motor!$E$70</f>
        <v>0</v>
      </c>
      <c r="E21" s="16" t="n">
        <f aca="false">Motor!$F$70</f>
        <v>0</v>
      </c>
      <c r="F21" s="16" t="n">
        <f aca="false">Motor!$G$70</f>
        <v>0</v>
      </c>
      <c r="G21" s="56" t="n">
        <f aca="false">INDEX(Motor!$D$1:$D$600,5+(sel_idx-1)*72+65)-pov_g*(Shocks!D$81)+pov_pi*Shocks!D$82</f>
        <v>-0.018190625</v>
      </c>
      <c r="H21" s="56" t="n">
        <f aca="false">INDEX(Motor!$E$1:$E$600,5+(sel_idx-1)*72+65)-pov_g*(Shocks!D$81+Shocks!E$81)+pov_pi*Shocks!E$82</f>
        <v>-1.0602</v>
      </c>
      <c r="I21" s="56" t="n">
        <f aca="false">INDEX(Motor!$F$1:$F$600,5+(sel_idx-1)*72+65)-pov_g*(Shocks!D$81+Shocks!E$81+Shocks!F$81)+pov_pi*Shocks!F$82</f>
        <v>-1.2784125</v>
      </c>
      <c r="J21" s="56" t="n">
        <f aca="false">INDEX(Motor!$G$1:$G$600,5+(sel_idx-1)*72+65)-pov_g*(Shocks!D$81+Shocks!E$81+Shocks!F$81+Shocks!G$81)+pov_pi*Shocks!G$82</f>
        <v>-1.4440875</v>
      </c>
    </row>
    <row r="22" customFormat="false" ht="15" hidden="false" customHeight="false" outlineLevel="0" collapsed="false">
      <c r="B22" s="21" t="s">
        <v>513</v>
      </c>
      <c r="C22" s="16" t="n">
        <f aca="false">Motor!$D$71</f>
        <v>-0</v>
      </c>
      <c r="D22" s="16" t="n">
        <f aca="false">Motor!$E$71</f>
        <v>-0</v>
      </c>
      <c r="E22" s="16" t="n">
        <f aca="false">Motor!$F$71</f>
        <v>-0</v>
      </c>
      <c r="F22" s="16" t="n">
        <f aca="false">Motor!$G$71</f>
        <v>-0</v>
      </c>
      <c r="G22" s="56" t="n">
        <f aca="false">INDEX(Motor!$D$1:$D$600,5+(sel_idx-1)*72+66)</f>
        <v>-0</v>
      </c>
      <c r="H22" s="56" t="n">
        <f aca="false">INDEX(Motor!$E$1:$E$600,5+(sel_idx-1)*72+66)</f>
        <v>-0.145</v>
      </c>
      <c r="I22" s="56" t="n">
        <f aca="false">INDEX(Motor!$F$1:$F$600,5+(sel_idx-1)*72+66)</f>
        <v>-0.17</v>
      </c>
      <c r="J22" s="56" t="n">
        <f aca="false">INDEX(Motor!$G$1:$G$600,5+(sel_idx-1)*72+66)</f>
        <v>-0.18</v>
      </c>
    </row>
    <row r="24" customFormat="false" ht="15" hidden="false" customHeight="false" outlineLevel="0" collapsed="false">
      <c r="B24" s="11" t="s">
        <v>514</v>
      </c>
      <c r="C24" s="11" t="s">
        <v>58</v>
      </c>
      <c r="D24" s="11" t="s">
        <v>59</v>
      </c>
      <c r="E24" s="11" t="s">
        <v>60</v>
      </c>
      <c r="F24" s="11" t="s">
        <v>61</v>
      </c>
    </row>
    <row r="25" customFormat="false" ht="15" hidden="false" customHeight="false" outlineLevel="0" collapsed="false">
      <c r="B25" s="21" t="s">
        <v>502</v>
      </c>
      <c r="C25" s="34" t="n">
        <f aca="false">G11</f>
        <v>-32751.7704835</v>
      </c>
      <c r="D25" s="14" t="n">
        <f aca="false">meta_pb</f>
        <v>-33000</v>
      </c>
      <c r="E25" s="34" t="n">
        <f aca="false">C25-D25</f>
        <v>248.2295165</v>
      </c>
      <c r="F25" s="15" t="str">
        <f aca="false">IF(ROUND(E25,0)&gt;=0,"Cumple","No cumple")</f>
        <v>Cumple</v>
      </c>
    </row>
    <row r="26" customFormat="false" ht="15" hidden="false" customHeight="false" outlineLevel="0" collapsed="false">
      <c r="B26" s="21" t="s">
        <v>515</v>
      </c>
      <c r="C26" s="34" t="n">
        <f aca="false">G14-Datos_FMI!$E$31</f>
        <v>2403.706515</v>
      </c>
      <c r="D26" s="14" t="n">
        <f aca="false">meta_nir</f>
        <v>2400</v>
      </c>
      <c r="E26" s="34" t="n">
        <f aca="false">C26-D26</f>
        <v>3.70651499999985</v>
      </c>
      <c r="F26" s="15" t="str">
        <f aca="false">IF(ROUND(E26,0)&gt;=0,"Cumple","No cumple")</f>
        <v>Cumple</v>
      </c>
    </row>
    <row r="27" customFormat="false" ht="15" hidden="false" customHeight="false" outlineLevel="0" collapsed="false">
      <c r="B27" s="21" t="s">
        <v>516</v>
      </c>
      <c r="C27" s="34" t="n">
        <f aca="false">G18</f>
        <v>0</v>
      </c>
      <c r="D27" s="14" t="n">
        <f aca="false">meta_bcb</f>
        <v>0</v>
      </c>
      <c r="E27" s="34" t="n">
        <f aca="false">D27-C27</f>
        <v>0</v>
      </c>
      <c r="F27" s="15" t="str">
        <f aca="false">IF(ROUND(E27,0)&gt;=0,"Cumple","No cumple")</f>
        <v>Cumple</v>
      </c>
    </row>
    <row r="28" customFormat="false" ht="15" hidden="false" customHeight="false" outlineLevel="0" collapsed="false">
      <c r="B28" s="21" t="s">
        <v>510</v>
      </c>
      <c r="C28" s="34" t="n">
        <f aca="false">G19</f>
        <v>10890</v>
      </c>
      <c r="D28" s="14" t="n">
        <f aca="false">meta_soc</f>
        <v>9300</v>
      </c>
      <c r="E28" s="34" t="n">
        <f aca="false">C28-D28</f>
        <v>1590</v>
      </c>
      <c r="F28" s="15" t="str">
        <f aca="false">IF(ROUND(E28,0)&gt;=0,"Cumple","No cumple")</f>
        <v>Cumple</v>
      </c>
    </row>
    <row r="29" customFormat="false" ht="15" hidden="false" customHeight="false" outlineLevel="0" collapsed="false">
      <c r="B29" s="21" t="s">
        <v>508</v>
      </c>
      <c r="C29" s="34" t="n">
        <f aca="false">G17</f>
        <v>133900</v>
      </c>
      <c r="D29" s="14" t="n">
        <f aca="false">meta_bm</f>
        <v>133900</v>
      </c>
      <c r="E29" s="34" t="n">
        <f aca="false">D29-C29</f>
        <v>0</v>
      </c>
      <c r="F29" s="15" t="str">
        <f aca="false">IF(ROUND(E29,0)&gt;=0,"Cumple","No cumple")</f>
        <v>Cumple</v>
      </c>
    </row>
  </sheetData>
  <conditionalFormatting sqref="F25:F29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C1"/>
    <pageSetUpPr fitToPage="false"/>
  </sheetPr>
  <dimension ref="B2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9" min="3" style="0" width="14"/>
    <col collapsed="false" customWidth="true" hidden="false" outlineLevel="0" max="10" min="10" style="0" width="12"/>
    <col collapsed="false" customWidth="true" hidden="false" outlineLevel="0" max="11" min="11" style="0" width="40"/>
  </cols>
  <sheetData>
    <row r="2" customFormat="false" ht="18.55" hidden="false" customHeight="false" outlineLevel="0" collapsed="false">
      <c r="B2" s="1" t="s">
        <v>517</v>
      </c>
    </row>
    <row r="3" customFormat="false" ht="15" hidden="false" customHeight="false" outlineLevel="0" collapsed="false">
      <c r="B3" s="2" t="s">
        <v>518</v>
      </c>
    </row>
    <row r="5" customFormat="false" ht="23.85" hidden="false" customHeight="false" outlineLevel="0" collapsed="false">
      <c r="B5" s="11" t="s">
        <v>62</v>
      </c>
      <c r="C5" s="11" t="s">
        <v>73</v>
      </c>
      <c r="D5" s="11" t="s">
        <v>74</v>
      </c>
      <c r="E5" s="11" t="s">
        <v>75</v>
      </c>
      <c r="F5" s="11" t="s">
        <v>76</v>
      </c>
      <c r="G5" s="11" t="s">
        <v>77</v>
      </c>
      <c r="H5" s="11" t="s">
        <v>78</v>
      </c>
      <c r="I5" s="11" t="s">
        <v>50</v>
      </c>
      <c r="J5" s="11" t="s">
        <v>519</v>
      </c>
    </row>
    <row r="6" customFormat="false" ht="15" hidden="false" customHeight="false" outlineLevel="0" collapsed="false">
      <c r="B6" s="21" t="s">
        <v>94</v>
      </c>
      <c r="C6" s="14" t="n">
        <f aca="false">Motor!$D$34</f>
        <v>-32869</v>
      </c>
      <c r="D6" s="14" t="n">
        <f aca="false">Motor!$D$106</f>
        <v>-33413.370325</v>
      </c>
      <c r="E6" s="14" t="n">
        <f aca="false">Motor!$D$178</f>
        <v>-32838.61654</v>
      </c>
      <c r="F6" s="14" t="n">
        <f aca="false">Motor!$D$250</f>
        <v>-32884.19173</v>
      </c>
      <c r="G6" s="14" t="n">
        <f aca="false">Motor!$D$322</f>
        <v>-32695.307887</v>
      </c>
      <c r="H6" s="14" t="n">
        <f aca="false">Motor!$D$394</f>
        <v>-32858.87218</v>
      </c>
      <c r="I6" s="14" t="n">
        <f aca="false">Motor!$D$466</f>
        <v>-32751.7704835</v>
      </c>
      <c r="J6" s="14" t="n">
        <f aca="false">meta_pb</f>
        <v>-33000</v>
      </c>
    </row>
    <row r="7" customFormat="false" ht="15" hidden="false" customHeight="false" outlineLevel="0" collapsed="false">
      <c r="B7" s="21" t="s">
        <v>96</v>
      </c>
      <c r="C7" s="14" t="n">
        <f aca="false">Motor!$D$59-Datos_FMI!$E$31</f>
        <v>2409</v>
      </c>
      <c r="D7" s="14" t="n">
        <f aca="false">Motor!$D$131-Datos_FMI!$E$31</f>
        <v>2492.60425</v>
      </c>
      <c r="E7" s="14" t="n">
        <f aca="false">Motor!$D$203-Datos_FMI!$E$31</f>
        <v>2403.3786</v>
      </c>
      <c r="F7" s="14" t="n">
        <f aca="false">Motor!$D$275-Datos_FMI!$E$31</f>
        <v>2261.8107</v>
      </c>
      <c r="G7" s="14" t="n">
        <f aca="false">Motor!$D$347-Datos_FMI!$E$31</f>
        <v>2409.65583</v>
      </c>
      <c r="H7" s="14" t="n">
        <f aca="false">Motor!$D$419-Datos_FMI!$E$31</f>
        <v>2407.1262</v>
      </c>
      <c r="I7" s="14" t="n">
        <f aca="false">Motor!$D$491-Datos_FMI!$E$31</f>
        <v>2403.706515</v>
      </c>
      <c r="J7" s="14" t="n">
        <f aca="false">meta_nir</f>
        <v>2400</v>
      </c>
    </row>
    <row r="8" customFormat="false" ht="15" hidden="false" customHeight="false" outlineLevel="0" collapsed="false">
      <c r="B8" s="21" t="s">
        <v>520</v>
      </c>
      <c r="C8" s="14" t="n">
        <f aca="false">Motor!$D$42</f>
        <v>0</v>
      </c>
      <c r="D8" s="14" t="n">
        <f aca="false">Motor!$D$114</f>
        <v>0</v>
      </c>
      <c r="E8" s="14" t="n">
        <f aca="false">Motor!$D$186</f>
        <v>0</v>
      </c>
      <c r="F8" s="14" t="n">
        <f aca="false">Motor!$D$258</f>
        <v>0</v>
      </c>
      <c r="G8" s="14" t="n">
        <f aca="false">Motor!$D$330</f>
        <v>0</v>
      </c>
      <c r="H8" s="14" t="n">
        <f aca="false">Motor!$D$402</f>
        <v>0</v>
      </c>
      <c r="I8" s="14" t="n">
        <f aca="false">Motor!$D$474</f>
        <v>0</v>
      </c>
      <c r="J8" s="14" t="n">
        <f aca="false">meta_bcb</f>
        <v>0</v>
      </c>
    </row>
    <row r="9" customFormat="false" ht="15" hidden="false" customHeight="false" outlineLevel="0" collapsed="false">
      <c r="B9" s="21" t="s">
        <v>521</v>
      </c>
      <c r="C9" s="14" t="n">
        <f aca="false">Motor!$D$68</f>
        <v>10890</v>
      </c>
      <c r="D9" s="14" t="n">
        <f aca="false">Motor!$D$140</f>
        <v>10890</v>
      </c>
      <c r="E9" s="14" t="n">
        <f aca="false">Motor!$D$212</f>
        <v>10890</v>
      </c>
      <c r="F9" s="14" t="n">
        <f aca="false">Motor!$D$284</f>
        <v>10890</v>
      </c>
      <c r="G9" s="14" t="n">
        <f aca="false">Motor!$D$356</f>
        <v>10890</v>
      </c>
      <c r="H9" s="14" t="n">
        <f aca="false">Motor!$D$428</f>
        <v>11143.1955</v>
      </c>
      <c r="I9" s="14" t="n">
        <f aca="false">Motor!$D$500</f>
        <v>10890</v>
      </c>
      <c r="J9" s="14" t="n">
        <f aca="false">meta_soc</f>
        <v>9300</v>
      </c>
    </row>
    <row r="10" customFormat="false" ht="15" hidden="false" customHeight="false" outlineLevel="0" collapsed="false">
      <c r="B10" s="21" t="s">
        <v>522</v>
      </c>
      <c r="C10" s="14" t="n">
        <f aca="false">Motor!$D$66</f>
        <v>133900</v>
      </c>
      <c r="D10" s="14" t="n">
        <f aca="false">Motor!$D$138</f>
        <v>133900</v>
      </c>
      <c r="E10" s="14" t="n">
        <f aca="false">Motor!$D$210</f>
        <v>133900</v>
      </c>
      <c r="F10" s="14" t="n">
        <f aca="false">Motor!$D$282</f>
        <v>133900</v>
      </c>
      <c r="G10" s="14" t="n">
        <f aca="false">Motor!$D$354</f>
        <v>133900</v>
      </c>
      <c r="H10" s="14" t="n">
        <f aca="false">Motor!$D$426</f>
        <v>133900</v>
      </c>
      <c r="I10" s="14" t="n">
        <f aca="false">Motor!$D$498</f>
        <v>133900</v>
      </c>
      <c r="J10" s="14" t="n">
        <f aca="false">meta_bm</f>
        <v>133900</v>
      </c>
    </row>
    <row r="11" customFormat="false" ht="15" hidden="false" customHeight="false" outlineLevel="0" collapsed="false">
      <c r="B11" s="21" t="s">
        <v>523</v>
      </c>
      <c r="C11" s="30" t="str">
        <f aca="false">IF(ROUND(C6,0)&gt;=meta_pb,"Cumple","No cumple")</f>
        <v>Cumple</v>
      </c>
      <c r="D11" s="30" t="str">
        <f aca="false">IF(ROUND(D6,0)&gt;=meta_pb,"Cumple","No cumple")</f>
        <v>No cumple</v>
      </c>
      <c r="E11" s="30" t="str">
        <f aca="false">IF(ROUND(E6,0)&gt;=meta_pb,"Cumple","No cumple")</f>
        <v>Cumple</v>
      </c>
      <c r="F11" s="30" t="str">
        <f aca="false">IF(ROUND(F6,0)&gt;=meta_pb,"Cumple","No cumple")</f>
        <v>Cumple</v>
      </c>
      <c r="G11" s="30" t="str">
        <f aca="false">IF(ROUND(G6,0)&gt;=meta_pb,"Cumple","No cumple")</f>
        <v>Cumple</v>
      </c>
      <c r="H11" s="30" t="str">
        <f aca="false">IF(ROUND(H6,0)&gt;=meta_pb,"Cumple","No cumple")</f>
        <v>Cumple</v>
      </c>
      <c r="I11" s="30" t="str">
        <f aca="false">IF(ROUND(I6,0)&gt;=meta_pb,"Cumple","No cumple")</f>
        <v>Cumple</v>
      </c>
    </row>
    <row r="12" customFormat="false" ht="15" hidden="false" customHeight="false" outlineLevel="0" collapsed="false">
      <c r="B12" s="21" t="s">
        <v>524</v>
      </c>
      <c r="C12" s="30" t="str">
        <f aca="false">IF(ROUND(C7,0)&gt;=meta_nir,"Cumple","No cumple")</f>
        <v>Cumple</v>
      </c>
      <c r="D12" s="30" t="str">
        <f aca="false">IF(ROUND(D7,0)&gt;=meta_nir,"Cumple","No cumple")</f>
        <v>Cumple</v>
      </c>
      <c r="E12" s="30" t="str">
        <f aca="false">IF(ROUND(E7,0)&gt;=meta_nir,"Cumple","No cumple")</f>
        <v>Cumple</v>
      </c>
      <c r="F12" s="30" t="str">
        <f aca="false">IF(ROUND(F7,0)&gt;=meta_nir,"Cumple","No cumple")</f>
        <v>No cumple</v>
      </c>
      <c r="G12" s="30" t="str">
        <f aca="false">IF(ROUND(G7,0)&gt;=meta_nir,"Cumple","No cumple")</f>
        <v>Cumple</v>
      </c>
      <c r="H12" s="30" t="str">
        <f aca="false">IF(ROUND(H7,0)&gt;=meta_nir,"Cumple","No cumple")</f>
        <v>Cumple</v>
      </c>
      <c r="I12" s="30" t="str">
        <f aca="false">IF(ROUND(I7,0)&gt;=meta_nir,"Cumple","No cumple")</f>
        <v>Cumple</v>
      </c>
    </row>
    <row r="13" customFormat="false" ht="15" hidden="false" customHeight="false" outlineLevel="0" collapsed="false">
      <c r="B13" s="21" t="s">
        <v>525</v>
      </c>
      <c r="C13" s="30" t="str">
        <f aca="false">IF(ROUND(C8,0)&lt;=meta_bcb,"Cumple","No cumple")</f>
        <v>Cumple</v>
      </c>
      <c r="D13" s="30" t="str">
        <f aca="false">IF(ROUND(D8,0)&lt;=meta_bcb,"Cumple","No cumple")</f>
        <v>Cumple</v>
      </c>
      <c r="E13" s="30" t="str">
        <f aca="false">IF(ROUND(E8,0)&lt;=meta_bcb,"Cumple","No cumple")</f>
        <v>Cumple</v>
      </c>
      <c r="F13" s="30" t="str">
        <f aca="false">IF(ROUND(F8,0)&lt;=meta_bcb,"Cumple","No cumple")</f>
        <v>Cumple</v>
      </c>
      <c r="G13" s="30" t="str">
        <f aca="false">IF(ROUND(G8,0)&lt;=meta_bcb,"Cumple","No cumple")</f>
        <v>Cumple</v>
      </c>
      <c r="H13" s="30" t="str">
        <f aca="false">IF(ROUND(H8,0)&lt;=meta_bcb,"Cumple","No cumple")</f>
        <v>Cumple</v>
      </c>
      <c r="I13" s="30" t="str">
        <f aca="false">IF(ROUND(I8,0)&lt;=meta_bcb,"Cumple","No cumple")</f>
        <v>Cumple</v>
      </c>
    </row>
    <row r="14" customFormat="false" ht="15" hidden="false" customHeight="false" outlineLevel="0" collapsed="false">
      <c r="B14" s="21" t="s">
        <v>526</v>
      </c>
      <c r="C14" s="30" t="str">
        <f aca="false">IF(ROUND(C9,0)&gt;=meta_soc,"Cumple","No cumple")</f>
        <v>Cumple</v>
      </c>
      <c r="D14" s="30" t="str">
        <f aca="false">IF(ROUND(D9,0)&gt;=meta_soc,"Cumple","No cumple")</f>
        <v>Cumple</v>
      </c>
      <c r="E14" s="30" t="str">
        <f aca="false">IF(ROUND(E9,0)&gt;=meta_soc,"Cumple","No cumple")</f>
        <v>Cumple</v>
      </c>
      <c r="F14" s="30" t="str">
        <f aca="false">IF(ROUND(F9,0)&gt;=meta_soc,"Cumple","No cumple")</f>
        <v>Cumple</v>
      </c>
      <c r="G14" s="30" t="str">
        <f aca="false">IF(ROUND(G9,0)&gt;=meta_soc,"Cumple","No cumple")</f>
        <v>Cumple</v>
      </c>
      <c r="H14" s="30" t="str">
        <f aca="false">IF(ROUND(H9,0)&gt;=meta_soc,"Cumple","No cumple")</f>
        <v>Cumple</v>
      </c>
      <c r="I14" s="30" t="str">
        <f aca="false">IF(ROUND(I9,0)&gt;=meta_soc,"Cumple","No cumple")</f>
        <v>Cumple</v>
      </c>
    </row>
    <row r="15" customFormat="false" ht="15" hidden="false" customHeight="false" outlineLevel="0" collapsed="false">
      <c r="B15" s="21" t="s">
        <v>527</v>
      </c>
      <c r="C15" s="30" t="str">
        <f aca="false">IF(ROUND(C10,0)&lt;=meta_bm,"Cumple","No cumple")</f>
        <v>Cumple</v>
      </c>
      <c r="D15" s="30" t="str">
        <f aca="false">IF(ROUND(D10,0)&lt;=meta_bm,"Cumple","No cumple")</f>
        <v>Cumple</v>
      </c>
      <c r="E15" s="30" t="str">
        <f aca="false">IF(ROUND(E10,0)&lt;=meta_bm,"Cumple","No cumple")</f>
        <v>Cumple</v>
      </c>
      <c r="F15" s="30" t="str">
        <f aca="false">IF(ROUND(F10,0)&lt;=meta_bm,"Cumple","No cumple")</f>
        <v>Cumple</v>
      </c>
      <c r="G15" s="30" t="str">
        <f aca="false">IF(ROUND(G10,0)&lt;=meta_bm,"Cumple","No cumple")</f>
        <v>Cumple</v>
      </c>
      <c r="H15" s="30" t="str">
        <f aca="false">IF(ROUND(H10,0)&lt;=meta_bm,"Cumple","No cumple")</f>
        <v>Cumple</v>
      </c>
      <c r="I15" s="30" t="str">
        <f aca="false">IF(ROUND(I10,0)&lt;=meta_bm,"Cumple","No cumple")</f>
        <v>Cumple</v>
      </c>
    </row>
    <row r="16" customFormat="false" ht="15" hidden="false" customHeight="false" outlineLevel="0" collapsed="false">
      <c r="B16" s="6" t="s">
        <v>79</v>
      </c>
      <c r="C16" s="61" t="n">
        <f aca="false">COUNTIF(C11:C15,"Cumple")</f>
        <v>5</v>
      </c>
      <c r="D16" s="61" t="n">
        <f aca="false">COUNTIF(D11:D15,"Cumple")</f>
        <v>4</v>
      </c>
      <c r="E16" s="61" t="n">
        <f aca="false">COUNTIF(E11:E15,"Cumple")</f>
        <v>5</v>
      </c>
      <c r="F16" s="61" t="n">
        <f aca="false">COUNTIF(F11:F15,"Cumple")</f>
        <v>4</v>
      </c>
      <c r="G16" s="61" t="n">
        <f aca="false">COUNTIF(G11:G15,"Cumple")</f>
        <v>5</v>
      </c>
      <c r="H16" s="61" t="n">
        <f aca="false">COUNTIF(H11:H15,"Cumple")</f>
        <v>5</v>
      </c>
      <c r="I16" s="61" t="n">
        <f aca="false">COUNTIF(I11:I15,"Cumple")</f>
        <v>5</v>
      </c>
    </row>
    <row r="17" customFormat="false" ht="15" hidden="false" customHeight="false" outlineLevel="0" collapsed="false">
      <c r="B17" s="21" t="s">
        <v>528</v>
      </c>
      <c r="C17" s="14" t="n">
        <f aca="false">SUM(Motor!$D$42:$G$42)</f>
        <v>0</v>
      </c>
      <c r="D17" s="14" t="n">
        <f aca="false">SUM(Motor!$D$114:$G$114)</f>
        <v>0</v>
      </c>
      <c r="E17" s="14" t="n">
        <f aca="false">SUM(Motor!$D$186:$G$186)</f>
        <v>0</v>
      </c>
      <c r="F17" s="14" t="n">
        <f aca="false">SUM(Motor!$D$258:$G$258)</f>
        <v>0</v>
      </c>
      <c r="G17" s="14" t="n">
        <f aca="false">SUM(Motor!$D$330:$G$330)</f>
        <v>0</v>
      </c>
      <c r="H17" s="14" t="n">
        <f aca="false">SUM(Motor!$D$402:$G$402)</f>
        <v>0</v>
      </c>
      <c r="I17" s="14" t="n">
        <f aca="false">SUM(Motor!$D$474:$G$474)</f>
        <v>0</v>
      </c>
    </row>
    <row r="18" customFormat="false" ht="15" hidden="false" customHeight="false" outlineLevel="0" collapsed="false">
      <c r="B18" s="21" t="s">
        <v>529</v>
      </c>
      <c r="C18" s="16" t="n">
        <f aca="false">((1+Motor!$D$29/100)*(1+Motor!$E$29/100)*(1+Motor!$F$29/100)*(1+Motor!$G$29/100)-1)*100</f>
        <v>-1.57670687500003</v>
      </c>
      <c r="D18" s="16" t="n">
        <f aca="false">((1+Motor!$D$101/100)*(1+Motor!$E$101/100)*(1+Motor!$F$101/100)*(1+Motor!$G$101/100)-1)*100</f>
        <v>0.176294561269019</v>
      </c>
      <c r="E18" s="16" t="n">
        <f aca="false">((1+Motor!$D$173/100)*(1+Motor!$E$173/100)*(1+Motor!$F$173/100)*(1+Motor!$G$173/100)-1)*100</f>
        <v>-0.0656713769322415</v>
      </c>
      <c r="F18" s="16" t="n">
        <f aca="false">((1+Motor!$D$245/100)*(1+Motor!$E$245/100)*(1+Motor!$F$245/100)*(1+Motor!$G$245/100)-1)*100</f>
        <v>-1.80132020266609</v>
      </c>
      <c r="G18" s="16" t="n">
        <f aca="false">((1+Motor!$D$317/100)*(1+Motor!$E$317/100)*(1+Motor!$F$317/100)*(1+Motor!$G$317/100)-1)*100</f>
        <v>-2.20806051566393</v>
      </c>
      <c r="H18" s="16" t="n">
        <f aca="false">((1+Motor!$D$389/100)*(1+Motor!$E$389/100)*(1+Motor!$F$389/100)*(1+Motor!$G$389/100)-1)*100</f>
        <v>-1.31675873113841</v>
      </c>
      <c r="I18" s="16" t="n">
        <f aca="false">((1+Motor!$D$461/100)*(1+Motor!$E$461/100)*(1+Motor!$F$461/100)*(1+Motor!$G$461/100)-1)*100</f>
        <v>0.0461968770055776</v>
      </c>
    </row>
    <row r="19" customFormat="false" ht="15" hidden="false" customHeight="false" outlineLevel="0" collapsed="false">
      <c r="B19" s="21" t="s">
        <v>530</v>
      </c>
      <c r="C19" s="16" t="n">
        <f aca="false">AVERAGE(Motor!$D$48:$G$48)</f>
        <v>11</v>
      </c>
      <c r="D19" s="16" t="n">
        <f aca="false">AVERAGE(Motor!$D$120:$G$120)</f>
        <v>11.1109375</v>
      </c>
      <c r="E19" s="16" t="n">
        <f aca="false">AVERAGE(Motor!$D$192:$G$192)</f>
        <v>11.676875</v>
      </c>
      <c r="F19" s="16" t="n">
        <f aca="false">AVERAGE(Motor!$D$264:$G$264)</f>
        <v>10.3295553428062</v>
      </c>
      <c r="G19" s="16" t="n">
        <f aca="false">AVERAGE(Motor!$D$336:$G$336)</f>
        <v>11.04178125</v>
      </c>
      <c r="H19" s="16" t="n">
        <f aca="false">AVERAGE(Motor!$D$408:$G$408)</f>
        <v>11.0163940803495</v>
      </c>
      <c r="I19" s="16" t="n">
        <f aca="false">AVERAGE(Motor!$D$480:$G$480)</f>
        <v>11.044515625</v>
      </c>
    </row>
    <row r="20" customFormat="false" ht="15" hidden="false" customHeight="false" outlineLevel="0" collapsed="false">
      <c r="B20" s="21" t="s">
        <v>531</v>
      </c>
      <c r="C20" s="16" t="n">
        <f aca="false">Motor!$G$33</f>
        <v>0.6</v>
      </c>
      <c r="D20" s="16" t="n">
        <f aca="false">Motor!$G$105</f>
        <v>0.2085</v>
      </c>
      <c r="E20" s="16" t="n">
        <f aca="false">Motor!$G$177</f>
        <v>0.678</v>
      </c>
      <c r="F20" s="16" t="n">
        <f aca="false">Motor!$G$249</f>
        <v>0.594</v>
      </c>
      <c r="G20" s="16" t="n">
        <f aca="false">Motor!$G$321</f>
        <v>2.0347</v>
      </c>
      <c r="H20" s="16" t="n">
        <f aca="false">Motor!$G$393</f>
        <v>0.604907865463189</v>
      </c>
      <c r="I20" s="16" t="n">
        <f aca="false">Motor!$G$465</f>
        <v>1.6622</v>
      </c>
    </row>
    <row r="21" customFormat="false" ht="15" hidden="false" customHeight="false" outlineLevel="0" collapsed="false">
      <c r="B21" s="21" t="s">
        <v>532</v>
      </c>
      <c r="C21" s="16" t="n">
        <f aca="false">Motor!$G$55</f>
        <v>89.2033737797485</v>
      </c>
      <c r="D21" s="16" t="n">
        <f aca="false">Motor!$G$127</f>
        <v>89.2298566055718</v>
      </c>
      <c r="E21" s="16" t="n">
        <f aca="false">Motor!$G$199</f>
        <v>85.8300445618741</v>
      </c>
      <c r="F21" s="16" t="n">
        <f aca="false">Motor!$G$271</f>
        <v>88.7994424459288</v>
      </c>
      <c r="G21" s="16" t="n">
        <f aca="false">Motor!$G$343</f>
        <v>86.1346243059606</v>
      </c>
      <c r="H21" s="16" t="n">
        <f aca="false">Motor!$G$415</f>
        <v>89.923874302122</v>
      </c>
      <c r="I21" s="16" t="n">
        <f aca="false">Motor!$G$487</f>
        <v>84.8469226445931</v>
      </c>
    </row>
    <row r="22" customFormat="false" ht="15" hidden="false" customHeight="false" outlineLevel="0" collapsed="false">
      <c r="B22" s="21" t="s">
        <v>533</v>
      </c>
      <c r="C22" s="14" t="n">
        <f aca="false">Motor!$G$59</f>
        <v>1878</v>
      </c>
      <c r="D22" s="14" t="n">
        <f aca="false">Motor!$G$131</f>
        <v>2727.2943375</v>
      </c>
      <c r="E22" s="14" t="n">
        <f aca="false">Motor!$G$203</f>
        <v>1397.22045</v>
      </c>
      <c r="F22" s="14" t="n">
        <f aca="false">Motor!$G$275</f>
        <v>771.7430402362</v>
      </c>
      <c r="G22" s="14" t="n">
        <f aca="false">Motor!$G$347</f>
        <v>2007.417075</v>
      </c>
      <c r="H22" s="14" t="n">
        <f aca="false">Motor!$G$419</f>
        <v>1980.46766307939</v>
      </c>
      <c r="I22" s="14" t="n">
        <f aca="false">Motor!$G$491</f>
        <v>1800.85605053192</v>
      </c>
    </row>
    <row r="23" customFormat="false" ht="15" hidden="false" customHeight="false" outlineLevel="0" collapsed="false">
      <c r="B23" s="21" t="s">
        <v>534</v>
      </c>
      <c r="C23" s="59" t="n">
        <f aca="false">Motor!$G$61</f>
        <v>112.3</v>
      </c>
      <c r="D23" s="59" t="n">
        <f aca="false">Motor!$G$133</f>
        <v>129.556333291343</v>
      </c>
      <c r="E23" s="59" t="n">
        <f aca="false">Motor!$G$205</f>
        <v>102.531311115433</v>
      </c>
      <c r="F23" s="59" t="n">
        <f aca="false">Motor!$G$277</f>
        <v>89.8225879172291</v>
      </c>
      <c r="G23" s="59" t="n">
        <f aca="false">Motor!$G$349</f>
        <v>114.929552654695</v>
      </c>
      <c r="H23" s="59" t="n">
        <f aca="false">Motor!$G$421</f>
        <v>114.381982732733</v>
      </c>
      <c r="I23" s="59" t="n">
        <f aca="false">Motor!$G$493</f>
        <v>110.732555540933</v>
      </c>
    </row>
    <row r="24" customFormat="false" ht="15" hidden="false" customHeight="false" outlineLevel="0" collapsed="false">
      <c r="B24" s="21" t="s">
        <v>535</v>
      </c>
      <c r="C24" s="16" t="n">
        <f aca="false">AVERAGE(Motor!$E$63:$G$63)</f>
        <v>8.03333333333333</v>
      </c>
      <c r="D24" s="16" t="n">
        <f aca="false">AVERAGE(Motor!$E$135:$G$135)</f>
        <v>8.03333333333333</v>
      </c>
      <c r="E24" s="16" t="n">
        <f aca="false">AVERAGE(Motor!$E$207:$G$207)</f>
        <v>12.2</v>
      </c>
      <c r="F24" s="16" t="n">
        <f aca="false">AVERAGE(Motor!$E$279:$G$279)</f>
        <v>8.02745968027721</v>
      </c>
      <c r="G24" s="16" t="n">
        <f aca="false">AVERAGE(Motor!$E$351:$G$351)</f>
        <v>8.03333333333333</v>
      </c>
      <c r="H24" s="16" t="n">
        <f aca="false">AVERAGE(Motor!$E$423:$G$423)</f>
        <v>7.87307023775715</v>
      </c>
      <c r="I24" s="16" t="n">
        <f aca="false">AVERAGE(Motor!$E$495:$G$495)</f>
        <v>10.7833333333333</v>
      </c>
    </row>
    <row r="25" customFormat="false" ht="15" hidden="false" customHeight="false" outlineLevel="0" collapsed="false">
      <c r="B25" s="21" t="s">
        <v>536</v>
      </c>
      <c r="C25" s="14" t="n">
        <f aca="false">SUM(Motor!$D$68:$G$68)</f>
        <v>40490.543</v>
      </c>
      <c r="D25" s="14" t="n">
        <f aca="false">SUM(Motor!$D$140:$G$140)</f>
        <v>40490.543</v>
      </c>
      <c r="E25" s="14" t="n">
        <f aca="false">SUM(Motor!$D$212:$G$212)</f>
        <v>40490.543</v>
      </c>
      <c r="F25" s="14" t="n">
        <f aca="false">SUM(Motor!$D$284:$G$284)</f>
        <v>40490.543</v>
      </c>
      <c r="G25" s="14" t="n">
        <f aca="false">SUM(Motor!$D$356:$G$356)</f>
        <v>40490.543</v>
      </c>
      <c r="H25" s="14" t="n">
        <f aca="false">SUM(Motor!$D$428:$G$428)</f>
        <v>46273.9155</v>
      </c>
      <c r="I25" s="14" t="n">
        <f aca="false">SUM(Motor!$D$500:$G$500)</f>
        <v>44193.9335</v>
      </c>
    </row>
    <row r="26" customFormat="false" ht="15" hidden="false" customHeight="false" outlineLevel="0" collapsed="false">
      <c r="B26" s="21" t="s">
        <v>537</v>
      </c>
      <c r="C26" s="14" t="n">
        <f aca="false">Motor!$G$69</f>
        <v>0</v>
      </c>
      <c r="D26" s="14" t="n">
        <f aca="false">Motor!$G$141</f>
        <v>56.8</v>
      </c>
      <c r="E26" s="14" t="n">
        <f aca="false">Motor!$G$213</f>
        <v>48.96</v>
      </c>
      <c r="F26" s="14" t="n">
        <f aca="false">Motor!$G$285</f>
        <v>-7.26766448320658</v>
      </c>
      <c r="G26" s="14" t="n">
        <f aca="false">Motor!$G$357</f>
        <v>-20.72</v>
      </c>
      <c r="H26" s="14" t="n">
        <f aca="false">Motor!$G$429</f>
        <v>8.39376913896233</v>
      </c>
      <c r="I26" s="14" t="n">
        <f aca="false">Motor!$G$501</f>
        <v>52.488</v>
      </c>
    </row>
    <row r="27" customFormat="false" ht="15" hidden="false" customHeight="false" outlineLevel="0" collapsed="false">
      <c r="B27" s="21" t="s">
        <v>538</v>
      </c>
      <c r="C27" s="16" t="n">
        <f aca="false">Motor!$G$70</f>
        <v>0</v>
      </c>
      <c r="D27" s="16" t="n">
        <f aca="false">Motor!$G$142</f>
        <v>-1.22215625</v>
      </c>
      <c r="E27" s="16" t="n">
        <f aca="false">Motor!$G$214</f>
        <v>-0.99825</v>
      </c>
      <c r="F27" s="16" t="n">
        <f aca="false">Motor!$G$286</f>
        <v>0.105355160570144</v>
      </c>
      <c r="G27" s="16" t="n">
        <f aca="false">Motor!$G$358</f>
        <v>0.46481875</v>
      </c>
      <c r="H27" s="16" t="n">
        <f aca="false">Motor!$G$430</f>
        <v>-0.528693475140453</v>
      </c>
      <c r="I27" s="16" t="n">
        <f aca="false">Motor!$G$502</f>
        <v>-1.4440875</v>
      </c>
    </row>
    <row r="28" customFormat="false" ht="15" hidden="false" customHeight="false" outlineLevel="0" collapsed="false">
      <c r="B28" s="21" t="s">
        <v>539</v>
      </c>
      <c r="C28" s="16" t="n">
        <f aca="false">Motor!$G$71</f>
        <v>-0</v>
      </c>
      <c r="D28" s="16" t="n">
        <f aca="false">Motor!$G$143</f>
        <v>-0</v>
      </c>
      <c r="E28" s="16" t="n">
        <f aca="false">Motor!$G$215</f>
        <v>-0</v>
      </c>
      <c r="F28" s="16" t="n">
        <f aca="false">Motor!$G$287</f>
        <v>-0</v>
      </c>
      <c r="G28" s="16" t="n">
        <f aca="false">Motor!$G$359</f>
        <v>-0.18</v>
      </c>
      <c r="H28" s="16" t="n">
        <f aca="false">Motor!$G$431</f>
        <v>-0.08</v>
      </c>
      <c r="I28" s="16" t="n">
        <f aca="false">Motor!$G$503</f>
        <v>-0.18</v>
      </c>
    </row>
    <row r="30" customFormat="false" ht="15" hidden="false" customHeight="false" outlineLevel="0" collapsed="false">
      <c r="B30" s="36" t="s">
        <v>92</v>
      </c>
      <c r="C30" s="62"/>
      <c r="D30" s="62"/>
      <c r="E30" s="62"/>
      <c r="F30" s="62"/>
      <c r="G30" s="62"/>
      <c r="H30" s="62"/>
      <c r="I30" s="62"/>
      <c r="J30" s="36" t="s">
        <v>540</v>
      </c>
      <c r="K30" s="36" t="s">
        <v>541</v>
      </c>
    </row>
    <row r="31" customFormat="false" ht="15" hidden="false" customHeight="false" outlineLevel="0" collapsed="false">
      <c r="B31" s="21" t="s">
        <v>542</v>
      </c>
      <c r="C31" s="55" t="n">
        <f aca="false">IF(MAX($C$16:$I$16)=MIN($C$16:$I$16),0.5,(C$16-MIN($C$16:$I$16))/(MAX($C$16:$I$16)-MIN($C$16:$I$16)))</f>
        <v>1</v>
      </c>
      <c r="D31" s="55" t="n">
        <f aca="false">IF(MAX($C$16:$I$16)=MIN($C$16:$I$16),0.5,(D$16-MIN($C$16:$I$16))/(MAX($C$16:$I$16)-MIN($C$16:$I$16)))</f>
        <v>0</v>
      </c>
      <c r="E31" s="55" t="n">
        <f aca="false">IF(MAX($C$16:$I$16)=MIN($C$16:$I$16),0.5,(E$16-MIN($C$16:$I$16))/(MAX($C$16:$I$16)-MIN($C$16:$I$16)))</f>
        <v>1</v>
      </c>
      <c r="F31" s="55" t="n">
        <f aca="false">IF(MAX($C$16:$I$16)=MIN($C$16:$I$16),0.5,(F$16-MIN($C$16:$I$16))/(MAX($C$16:$I$16)-MIN($C$16:$I$16)))</f>
        <v>0</v>
      </c>
      <c r="G31" s="55" t="n">
        <f aca="false">IF(MAX($C$16:$I$16)=MIN($C$16:$I$16),0.5,(G$16-MIN($C$16:$I$16))/(MAX($C$16:$I$16)-MIN($C$16:$I$16)))</f>
        <v>1</v>
      </c>
      <c r="H31" s="55" t="n">
        <f aca="false">IF(MAX($C$16:$I$16)=MIN($C$16:$I$16),0.5,(H$16-MIN($C$16:$I$16))/(MAX($C$16:$I$16)-MIN($C$16:$I$16)))</f>
        <v>1</v>
      </c>
      <c r="I31" s="55" t="n">
        <f aca="false">IF(MAX($C$16:$I$16)=MIN($C$16:$I$16),0.5,(I$16-MIN($C$16:$I$16))/(MAX($C$16:$I$16)-MIN($C$16:$I$16)))</f>
        <v>1</v>
      </c>
      <c r="J31" s="54" t="n">
        <v>0.25</v>
      </c>
      <c r="K31" s="30" t="s">
        <v>543</v>
      </c>
    </row>
    <row r="32" customFormat="false" ht="15" hidden="false" customHeight="false" outlineLevel="0" collapsed="false">
      <c r="B32" s="21" t="s">
        <v>544</v>
      </c>
      <c r="C32" s="55" t="n">
        <f aca="false">IF(MAX($C$18:$I$18)=MIN($C$18:$I$18),0.5,(C$18-MIN($C$18:$I$18))/(MAX($C$18:$I$18)-MIN($C$18:$I$18)))</f>
        <v>0.264790108978242</v>
      </c>
      <c r="D32" s="55" t="n">
        <f aca="false">IF(MAX($C$18:$I$18)=MIN($C$18:$I$18),0.5,(D$18-MIN($C$18:$I$18))/(MAX($C$18:$I$18)-MIN($C$18:$I$18)))</f>
        <v>1</v>
      </c>
      <c r="E32" s="55" t="n">
        <f aca="false">IF(MAX($C$18:$I$18)=MIN($C$18:$I$18),0.5,(E$18-MIN($C$18:$I$18))/(MAX($C$18:$I$18)-MIN($C$18:$I$18)))</f>
        <v>0.898519335252488</v>
      </c>
      <c r="F32" s="55" t="n">
        <f aca="false">IF(MAX($C$18:$I$18)=MIN($C$18:$I$18),0.5,(F$18-MIN($C$18:$I$18))/(MAX($C$18:$I$18)-MIN($C$18:$I$18)))</f>
        <v>0.170587139865528</v>
      </c>
      <c r="G32" s="55" t="n">
        <f aca="false">IF(MAX($C$18:$I$18)=MIN($C$18:$I$18),0.5,(G$18-MIN($C$18:$I$18))/(MAX($C$18:$I$18)-MIN($C$18:$I$18)))</f>
        <v>0</v>
      </c>
      <c r="H32" s="55" t="n">
        <f aca="false">IF(MAX($C$18:$I$18)=MIN($C$18:$I$18),0.5,(H$18-MIN($C$18:$I$18))/(MAX($C$18:$I$18)-MIN($C$18:$I$18)))</f>
        <v>0.373812521947034</v>
      </c>
      <c r="I32" s="55" t="n">
        <f aca="false">IF(MAX($C$18:$I$18)=MIN($C$18:$I$18),0.5,(I$18-MIN($C$18:$I$18))/(MAX($C$18:$I$18)-MIN($C$18:$I$18)))</f>
        <v>0.945436950426533</v>
      </c>
      <c r="J32" s="54" t="n">
        <v>0.2</v>
      </c>
      <c r="K32" s="30" t="s">
        <v>543</v>
      </c>
    </row>
    <row r="33" customFormat="false" ht="15" hidden="false" customHeight="false" outlineLevel="0" collapsed="false">
      <c r="B33" s="21" t="s">
        <v>545</v>
      </c>
      <c r="C33" s="55" t="n">
        <f aca="false">IF(MAX($C$19:$I$19)=MIN($C$19:$I$19),0.5,(MAX($C$19:$I$19)-C$19)/(MAX($C$19:$I$19)-MIN($C$19:$I$19)))</f>
        <v>0.502386346392225</v>
      </c>
      <c r="D33" s="55" t="n">
        <f aca="false">IF(MAX($C$19:$I$19)=MIN($C$19:$I$19),0.5,(MAX($C$19:$I$19)-D$19)/(MAX($C$19:$I$19)-MIN($C$19:$I$19)))</f>
        <v>0.420046940589252</v>
      </c>
      <c r="E33" s="55" t="n">
        <f aca="false">IF(MAX($C$19:$I$19)=MIN($C$19:$I$19),0.5,(MAX($C$19:$I$19)-E$19)/(MAX($C$19:$I$19)-MIN($C$19:$I$19)))</f>
        <v>0</v>
      </c>
      <c r="F33" s="55" t="n">
        <f aca="false">IF(MAX($C$19:$I$19)=MIN($C$19:$I$19),0.5,(MAX($C$19:$I$19)-F$19)/(MAX($C$19:$I$19)-MIN($C$19:$I$19)))</f>
        <v>1</v>
      </c>
      <c r="G33" s="55" t="n">
        <f aca="false">IF(MAX($C$19:$I$19)=MIN($C$19:$I$19),0.5,(MAX($C$19:$I$19)-G$19)/(MAX($C$19:$I$19)-MIN($C$19:$I$19)))</f>
        <v>0.471375702572908</v>
      </c>
      <c r="H33" s="55" t="n">
        <f aca="false">IF(MAX($C$19:$I$19)=MIN($C$19:$I$19),0.5,(MAX($C$19:$I$19)-H$19)/(MAX($C$19:$I$19)-MIN($C$19:$I$19)))</f>
        <v>0.49021842450227</v>
      </c>
      <c r="I33" s="55" t="n">
        <f aca="false">IF(MAX($C$19:$I$19)=MIN($C$19:$I$19),0.5,(MAX($C$19:$I$19)-I$19)/(MAX($C$19:$I$19)-MIN($C$19:$I$19)))</f>
        <v>0.469346210176357</v>
      </c>
      <c r="J33" s="54" t="n">
        <v>0.15</v>
      </c>
      <c r="K33" s="30" t="s">
        <v>546</v>
      </c>
    </row>
    <row r="34" customFormat="false" ht="15" hidden="false" customHeight="false" outlineLevel="0" collapsed="false">
      <c r="B34" s="21" t="s">
        <v>547</v>
      </c>
      <c r="C34" s="55" t="n">
        <f aca="false">IF(MAX($C$21:$I$21)=MIN($C$21:$I$21),0.5,(MAX($C$21:$I$21)-C$21)/(MAX($C$21:$I$21)-MIN($C$21:$I$21)))</f>
        <v>0.141915970640579</v>
      </c>
      <c r="D34" s="55" t="n">
        <f aca="false">IF(MAX($C$21:$I$21)=MIN($C$21:$I$21),0.5,(MAX($C$21:$I$21)-D$21)/(MAX($C$21:$I$21)-MIN($C$21:$I$21)))</f>
        <v>0.1366996858284</v>
      </c>
      <c r="E34" s="55" t="n">
        <f aca="false">IF(MAX($C$21:$I$21)=MIN($C$21:$I$21),0.5,(MAX($C$21:$I$21)-E$21)/(MAX($C$21:$I$21)-MIN($C$21:$I$21)))</f>
        <v>0.80635586399112</v>
      </c>
      <c r="F34" s="55" t="n">
        <f aca="false">IF(MAX($C$21:$I$21)=MIN($C$21:$I$21),0.5,(MAX($C$21:$I$21)-F$21)/(MAX($C$21:$I$21)-MIN($C$21:$I$21)))</f>
        <v>0.221477755165489</v>
      </c>
      <c r="G34" s="55" t="n">
        <f aca="false">IF(MAX($C$21:$I$21)=MIN($C$21:$I$21),0.5,(MAX($C$21:$I$21)-G$21)/(MAX($C$21:$I$21)-MIN($C$21:$I$21)))</f>
        <v>0.746363221824679</v>
      </c>
      <c r="H34" s="55" t="n">
        <f aca="false">IF(MAX($C$21:$I$21)=MIN($C$21:$I$21),0.5,(MAX($C$21:$I$21)-H$21)/(MAX($C$21:$I$21)-MIN($C$21:$I$21)))</f>
        <v>0</v>
      </c>
      <c r="I34" s="55" t="n">
        <f aca="false">IF(MAX($C$21:$I$21)=MIN($C$21:$I$21),0.5,(MAX($C$21:$I$21)-I$21)/(MAX($C$21:$I$21)-MIN($C$21:$I$21)))</f>
        <v>1</v>
      </c>
      <c r="J34" s="54" t="n">
        <v>0.15</v>
      </c>
      <c r="K34" s="30" t="s">
        <v>546</v>
      </c>
    </row>
    <row r="35" customFormat="false" ht="15" hidden="false" customHeight="false" outlineLevel="0" collapsed="false">
      <c r="B35" s="21" t="s">
        <v>548</v>
      </c>
      <c r="C35" s="55" t="n">
        <f aca="false">IF(MAX($C$22:$I$22)=MIN($C$22:$I$22),0.5,(C$22-MIN($C$22:$I$22))/(MAX($C$22:$I$22)-MIN($C$22:$I$22)))</f>
        <v>0.565700813531034</v>
      </c>
      <c r="D35" s="55" t="n">
        <f aca="false">IF(MAX($C$22:$I$22)=MIN($C$22:$I$22),0.5,(D$22-MIN($C$22:$I$22))/(MAX($C$22:$I$22)-MIN($C$22:$I$22)))</f>
        <v>1</v>
      </c>
      <c r="E35" s="55" t="n">
        <f aca="false">IF(MAX($C$22:$I$22)=MIN($C$22:$I$22),0.5,(E$22-MIN($C$22:$I$22))/(MAX($C$22:$I$22)-MIN($C$22:$I$22)))</f>
        <v>0.319847099198557</v>
      </c>
      <c r="F35" s="55" t="n">
        <f aca="false">IF(MAX($C$22:$I$22)=MIN($C$22:$I$22),0.5,(F$22-MIN($C$22:$I$22))/(MAX($C$22:$I$22)-MIN($C$22:$I$22)))</f>
        <v>0</v>
      </c>
      <c r="G35" s="55" t="n">
        <f aca="false">IF(MAX($C$22:$I$22)=MIN($C$22:$I$22),0.5,(G$22-MIN($C$22:$I$22))/(MAX($C$22:$I$22)-MIN($C$22:$I$22)))</f>
        <v>0.631880143718424</v>
      </c>
      <c r="H35" s="55" t="n">
        <f aca="false">IF(MAX($C$22:$I$22)=MIN($C$22:$I$22),0.5,(H$22-MIN($C$22:$I$22))/(MAX($C$22:$I$22)-MIN($C$22:$I$22)))</f>
        <v>0.618099164432268</v>
      </c>
      <c r="I35" s="55" t="n">
        <f aca="false">IF(MAX($C$22:$I$22)=MIN($C$22:$I$22),0.5,(I$22-MIN($C$22:$I$22))/(MAX($C$22:$I$22)-MIN($C$22:$I$22)))</f>
        <v>0.526252117106642</v>
      </c>
      <c r="J35" s="54" t="n">
        <v>0.1</v>
      </c>
      <c r="K35" s="30" t="s">
        <v>543</v>
      </c>
    </row>
    <row r="36" customFormat="false" ht="15" hidden="false" customHeight="false" outlineLevel="0" collapsed="false">
      <c r="B36" s="21" t="s">
        <v>549</v>
      </c>
      <c r="C36" s="55" t="n">
        <f aca="false">IF(MAX($C$27:$I$27)=MIN($C$27:$I$27),0.5,(MAX($C$27:$I$27)-C$27)/(MAX($C$27:$I$27)-MIN($C$27:$I$27)))</f>
        <v>0.243500040926578</v>
      </c>
      <c r="D36" s="55" t="n">
        <f aca="false">IF(MAX($C$27:$I$27)=MIN($C$27:$I$27),0.5,(MAX($C$27:$I$27)-D$27)/(MAX($C$27:$I$27)-MIN($C$27:$I$27)))</f>
        <v>0.88373905214046</v>
      </c>
      <c r="E36" s="55" t="n">
        <f aca="false">IF(MAX($C$27:$I$27)=MIN($C$27:$I$27),0.5,(MAX($C$27:$I$27)-E$27)/(MAX($C$27:$I$27)-MIN($C$27:$I$27)))</f>
        <v>0.76644348039617</v>
      </c>
      <c r="F36" s="55" t="n">
        <f aca="false">IF(MAX($C$27:$I$27)=MIN($C$27:$I$27),0.5,(MAX($C$27:$I$27)-F$27)/(MAX($C$27:$I$27)-MIN($C$27:$I$27)))</f>
        <v>0.18830866598601</v>
      </c>
      <c r="G36" s="55" t="n">
        <f aca="false">IF(MAX($C$27:$I$27)=MIN($C$27:$I$27),0.5,(MAX($C$27:$I$27)-G$27)/(MAX($C$27:$I$27)-MIN($C$27:$I$27)))</f>
        <v>0</v>
      </c>
      <c r="H36" s="55" t="n">
        <f aca="false">IF(MAX($C$27:$I$27)=MIN($C$27:$I$27),0.5,(MAX($C$27:$I$27)-H$27)/(MAX($C$27:$I$27)-MIN($C$27:$I$27)))</f>
        <v>0.520461507808701</v>
      </c>
      <c r="I36" s="55" t="n">
        <f aca="false">IF(MAX($C$27:$I$27)=MIN($C$27:$I$27),0.5,(MAX($C$27:$I$27)-I$27)/(MAX($C$27:$I$27)-MIN($C$27:$I$27)))</f>
        <v>1</v>
      </c>
      <c r="J36" s="54" t="n">
        <v>0.1</v>
      </c>
      <c r="K36" s="30" t="s">
        <v>546</v>
      </c>
    </row>
    <row r="37" customFormat="false" ht="15" hidden="false" customHeight="false" outlineLevel="0" collapsed="false">
      <c r="B37" s="21" t="s">
        <v>550</v>
      </c>
      <c r="C37" s="55" t="n">
        <f aca="false">IF(MAX($C$26:$I$26)=MIN($C$26:$I$26),0.5,(C$26-MIN($C$26:$I$26))/(MAX($C$26:$I$26)-MIN($C$26:$I$26)))</f>
        <v>0.267285861713106</v>
      </c>
      <c r="D37" s="55" t="n">
        <f aca="false">IF(MAX($C$26:$I$26)=MIN($C$26:$I$26),0.5,(D$26-MIN($C$26:$I$26))/(MAX($C$26:$I$26)-MIN($C$26:$I$26)))</f>
        <v>1</v>
      </c>
      <c r="E37" s="55" t="n">
        <f aca="false">IF(MAX($C$26:$I$26)=MIN($C$26:$I$26),0.5,(E$26-MIN($C$26:$I$26))/(MAX($C$26:$I$26)-MIN($C$26:$I$26)))</f>
        <v>0.898864809081527</v>
      </c>
      <c r="F37" s="55" t="n">
        <f aca="false">IF(MAX($C$26:$I$26)=MIN($C$26:$I$26),0.5,(F$26-MIN($C$26:$I$26))/(MAX($C$26:$I$26)-MIN($C$26:$I$26)))</f>
        <v>0.173533739896716</v>
      </c>
      <c r="G37" s="55" t="n">
        <f aca="false">IF(MAX($C$26:$I$26)=MIN($C$26:$I$26),0.5,(G$26-MIN($C$26:$I$26))/(MAX($C$26:$I$26)-MIN($C$26:$I$26)))</f>
        <v>0</v>
      </c>
      <c r="H37" s="55" t="n">
        <f aca="false">IF(MAX($C$26:$I$26)=MIN($C$26:$I$26),0.5,(H$26-MIN($C$26:$I$26))/(MAX($C$26:$I$26)-MIN($C$26:$I$26)))</f>
        <v>0.375564617375675</v>
      </c>
      <c r="I37" s="55" t="n">
        <f aca="false">IF(MAX($C$26:$I$26)=MIN($C$26:$I$26),0.5,(I$26-MIN($C$26:$I$26))/(MAX($C$26:$I$26)-MIN($C$26:$I$26)))</f>
        <v>0.94437564499484</v>
      </c>
      <c r="J37" s="54" t="n">
        <v>0.05</v>
      </c>
      <c r="K37" s="30" t="s">
        <v>543</v>
      </c>
    </row>
    <row r="38" customFormat="false" ht="15" hidden="false" customHeight="false" outlineLevel="0" collapsed="false">
      <c r="B38" s="5" t="s">
        <v>551</v>
      </c>
      <c r="C38" s="63" t="n">
        <f aca="false">100*SUMPRODUCT(C31:C37,$J$31:$J$37)/SUM($J$31:$J$37)</f>
        <v>49.3887747881985</v>
      </c>
      <c r="D38" s="63" t="n">
        <f aca="false">100*SUMPRODUCT(D31:D37,$J$31:$J$37)/SUM($J$31:$J$37)</f>
        <v>52.1885899176694</v>
      </c>
      <c r="E38" s="63" t="n">
        <f aca="false">100*SUMPRODUCT(E31:E37,$J$31:$J$37)/SUM($J$31:$J$37)</f>
        <v>70.4229545062715</v>
      </c>
      <c r="F38" s="63" t="n">
        <f aca="false">100*SUMPRODUCT(F31:F37,$J$31:$J$37)/SUM($J$31:$J$37)</f>
        <v>24.4846644841366</v>
      </c>
      <c r="G38" s="63" t="n">
        <f aca="false">100*SUMPRODUCT(G31:G37,$J$31:$J$37)/SUM($J$31:$J$37)</f>
        <v>49.5848853031481</v>
      </c>
      <c r="H38" s="63" t="n">
        <f aca="false">100*SUMPRODUCT(H31:H37,$J$31:$J$37)/SUM($J$31:$J$37)</f>
        <v>53.0929566157628</v>
      </c>
      <c r="I38" s="63" t="n">
        <f aca="false">100*SUMPRODUCT(I31:I37,$J$31:$J$37)/SUM($J$31:$J$37)</f>
        <v>85.9333315572166</v>
      </c>
      <c r="J38" s="64" t="n">
        <f aca="false">SUM(J31:J37)</f>
        <v>1</v>
      </c>
    </row>
    <row r="39" customFormat="false" ht="15" hidden="false" customHeight="false" outlineLevel="0" collapsed="false">
      <c r="B39" s="6" t="s">
        <v>93</v>
      </c>
      <c r="C39" s="61" t="n">
        <f aca="false">RANK(C38,$C$38:$I$38)</f>
        <v>6</v>
      </c>
      <c r="D39" s="61" t="n">
        <f aca="false">RANK(D38,$C$38:$I$38)</f>
        <v>4</v>
      </c>
      <c r="E39" s="61" t="n">
        <f aca="false">RANK(E38,$C$38:$I$38)</f>
        <v>2</v>
      </c>
      <c r="F39" s="61" t="n">
        <f aca="false">RANK(F38,$C$38:$I$38)</f>
        <v>7</v>
      </c>
      <c r="G39" s="61" t="n">
        <f aca="false">RANK(G38,$C$38:$I$38)</f>
        <v>5</v>
      </c>
      <c r="H39" s="61" t="n">
        <f aca="false">RANK(H38,$C$38:$I$38)</f>
        <v>3</v>
      </c>
      <c r="I39" s="61" t="n">
        <f aca="false">RANK(I38,$C$38:$I$38)</f>
        <v>1</v>
      </c>
    </row>
  </sheetData>
  <conditionalFormatting sqref="C11:I15">
    <cfRule type="cellIs" priority="2" operator="equal" aboveAverage="0" equalAverage="0" bottom="0" percent="0" rank="0" text="" dxfId="2">
      <formula>"Cumple"</formula>
    </cfRule>
    <cfRule type="cellIs" priority="3" operator="equal" aboveAverage="0" equalAverage="0" bottom="0" percent="0" rank="0" text="" dxfId="3">
      <formula>"No cumple"</formula>
    </cfRule>
  </conditionalFormatting>
  <conditionalFormatting sqref="C38:I38">
    <cfRule type="expression" priority="4" aboveAverage="0" equalAverage="0" bottom="0" percent="0" rank="0" text="" dxfId="4">
      <formula>C38=MAX($C$38:$I$38)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C1"/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8" min="3" style="0" width="12"/>
    <col collapsed="false" customWidth="true" hidden="false" outlineLevel="0" max="9" min="9" style="0" width="70"/>
  </cols>
  <sheetData>
    <row r="2" customFormat="false" ht="18.55" hidden="false" customHeight="false" outlineLevel="0" collapsed="false">
      <c r="B2" s="1" t="s">
        <v>552</v>
      </c>
    </row>
    <row r="3" customFormat="false" ht="15" hidden="false" customHeight="false" outlineLevel="0" collapsed="false">
      <c r="B3" s="2" t="s">
        <v>553</v>
      </c>
    </row>
    <row r="5" customFormat="false" ht="15" hidden="false" customHeight="false" outlineLevel="0" collapsed="false">
      <c r="B5" s="11" t="s">
        <v>374</v>
      </c>
      <c r="C5" s="11" t="s">
        <v>63</v>
      </c>
      <c r="D5" s="11" t="s">
        <v>64</v>
      </c>
      <c r="E5" s="11" t="s">
        <v>66</v>
      </c>
      <c r="F5" s="12" t="s">
        <v>67</v>
      </c>
      <c r="G5" s="12" t="s">
        <v>68</v>
      </c>
      <c r="H5" s="12" t="s">
        <v>70</v>
      </c>
      <c r="I5" s="11" t="s">
        <v>554</v>
      </c>
    </row>
    <row r="6" customFormat="false" ht="75" hidden="false" customHeight="true" outlineLevel="0" collapsed="false">
      <c r="B6" s="6" t="s">
        <v>503</v>
      </c>
      <c r="C6" s="16" t="n">
        <f aca="false">Seleccionado!C12</f>
        <v>-9.2</v>
      </c>
      <c r="D6" s="16" t="n">
        <f aca="false">Seleccionado!D12</f>
        <v>-6.7</v>
      </c>
      <c r="E6" s="16" t="n">
        <f aca="false">Seleccionado!F12</f>
        <v>-3.2</v>
      </c>
      <c r="F6" s="17" t="n">
        <f aca="false">Seleccionado!G12</f>
        <v>-9.17685</v>
      </c>
      <c r="G6" s="17" t="n">
        <f aca="false">Seleccionado!H12</f>
        <v>-6.58528235660575</v>
      </c>
      <c r="H6" s="17" t="n">
        <f aca="false">Seleccionado!J12</f>
        <v>-2.04395104890273</v>
      </c>
      <c r="I6" s="4" t="s">
        <v>555</v>
      </c>
    </row>
    <row r="7" customFormat="false" ht="75" hidden="false" customHeight="true" outlineLevel="0" collapsed="false">
      <c r="B7" s="6" t="s">
        <v>499</v>
      </c>
      <c r="C7" s="16" t="n">
        <f aca="false">Seleccionado!C8</f>
        <v>12.7</v>
      </c>
      <c r="D7" s="16" t="n">
        <f aca="false">Seleccionado!D8</f>
        <v>15.8</v>
      </c>
      <c r="E7" s="16" t="n">
        <f aca="false">Seleccionado!F8</f>
        <v>7.3</v>
      </c>
      <c r="F7" s="17" t="n">
        <f aca="false">Seleccionado!G8</f>
        <v>12.7105625</v>
      </c>
      <c r="G7" s="17" t="n">
        <f aca="false">Seleccionado!H8</f>
        <v>15.8265</v>
      </c>
      <c r="H7" s="17" t="n">
        <f aca="false">Seleccionado!J8</f>
        <v>7.32725</v>
      </c>
      <c r="I7" s="4" t="s">
        <v>556</v>
      </c>
    </row>
    <row r="8" customFormat="false" ht="75" hidden="false" customHeight="true" outlineLevel="0" collapsed="false">
      <c r="B8" s="6" t="s">
        <v>505</v>
      </c>
      <c r="C8" s="14" t="n">
        <f aca="false">Seleccionado!C14</f>
        <v>-581</v>
      </c>
      <c r="D8" s="14" t="n">
        <f aca="false">Seleccionado!D14</f>
        <v>744</v>
      </c>
      <c r="E8" s="14" t="n">
        <f aca="false">Seleccionado!F14</f>
        <v>1878</v>
      </c>
      <c r="F8" s="18" t="n">
        <f aca="false">Seleccionado!G14</f>
        <v>-586.293485</v>
      </c>
      <c r="G8" s="18" t="n">
        <f aca="false">Seleccionado!H14</f>
        <v>703.749120531915</v>
      </c>
      <c r="H8" s="18" t="n">
        <f aca="false">Seleccionado!J14</f>
        <v>1800.85605053192</v>
      </c>
      <c r="I8" s="4" t="s">
        <v>557</v>
      </c>
    </row>
    <row r="9" customFormat="false" ht="75" hidden="false" customHeight="true" outlineLevel="0" collapsed="false">
      <c r="B9" s="6" t="s">
        <v>498</v>
      </c>
      <c r="C9" s="16" t="n">
        <f aca="false">Seleccionado!C7</f>
        <v>-3</v>
      </c>
      <c r="D9" s="16" t="n">
        <f aca="false">Seleccionado!D7</f>
        <v>-1.5</v>
      </c>
      <c r="E9" s="16" t="n">
        <f aca="false">Seleccionado!F7</f>
        <v>2.5</v>
      </c>
      <c r="F9" s="17" t="n">
        <f aca="false">Seleccionado!G7</f>
        <v>-2.97175</v>
      </c>
      <c r="G9" s="17" t="n">
        <f aca="false">Seleccionado!H7</f>
        <v>-0.808</v>
      </c>
      <c r="H9" s="17" t="n">
        <f aca="false">Seleccionado!J7</f>
        <v>2.861</v>
      </c>
      <c r="I9" s="4" t="s">
        <v>558</v>
      </c>
    </row>
    <row r="10" customFormat="false" ht="75" hidden="false" customHeight="true" outlineLevel="0" collapsed="false">
      <c r="B10" s="6" t="s">
        <v>510</v>
      </c>
      <c r="C10" s="14" t="n">
        <f aca="false">Seleccionado!C19</f>
        <v>10890</v>
      </c>
      <c r="D10" s="14" t="n">
        <f aca="false">Seleccionado!D19</f>
        <v>12722.578</v>
      </c>
      <c r="E10" s="14" t="n">
        <f aca="false">Seleccionado!F19</f>
        <v>8813.142</v>
      </c>
      <c r="F10" s="18" t="n">
        <f aca="false">Seleccionado!G19</f>
        <v>10890</v>
      </c>
      <c r="G10" s="18" t="n">
        <f aca="false">Seleccionado!H19</f>
        <v>14168.3255</v>
      </c>
      <c r="H10" s="18" t="n">
        <f aca="false">Seleccionado!J19</f>
        <v>9830.043</v>
      </c>
      <c r="I10" s="4" t="s">
        <v>559</v>
      </c>
    </row>
    <row r="11" customFormat="false" ht="75" hidden="false" customHeight="true" outlineLevel="0" collapsed="false">
      <c r="B11" s="6" t="s">
        <v>560</v>
      </c>
      <c r="C11" s="16" t="n">
        <f aca="false">Seleccionado!C16</f>
        <v>4</v>
      </c>
      <c r="D11" s="16" t="n">
        <f aca="false">Seleccionado!D16</f>
        <v>7.3</v>
      </c>
      <c r="E11" s="16" t="n">
        <f aca="false">Seleccionado!F16</f>
        <v>9.5</v>
      </c>
      <c r="F11" s="17" t="n">
        <f aca="false">Seleccionado!G16</f>
        <v>4.25</v>
      </c>
      <c r="G11" s="17" t="n">
        <f aca="false">Seleccionado!H16</f>
        <v>10.55</v>
      </c>
      <c r="H11" s="17" t="n">
        <f aca="false">Seleccionado!J16</f>
        <v>11.5</v>
      </c>
      <c r="I11" s="4" t="s">
        <v>561</v>
      </c>
    </row>
    <row r="12" customFormat="false" ht="75" hidden="false" customHeight="true" outlineLevel="0" collapsed="false">
      <c r="B12" s="6" t="s">
        <v>504</v>
      </c>
      <c r="C12" s="16" t="n">
        <f aca="false">Seleccionado!C13</f>
        <v>100.477694113837</v>
      </c>
      <c r="D12" s="16" t="n">
        <f aca="false">Seleccionado!D13</f>
        <v>95.3612231734795</v>
      </c>
      <c r="E12" s="16" t="n">
        <f aca="false">Seleccionado!F13</f>
        <v>89.2033737797485</v>
      </c>
      <c r="F12" s="17" t="n">
        <f aca="false">Seleccionado!G13</f>
        <v>100.415567325462</v>
      </c>
      <c r="G12" s="17" t="n">
        <f aca="false">Seleccionado!H13</f>
        <v>94.2146383021112</v>
      </c>
      <c r="H12" s="17" t="n">
        <f aca="false">Seleccionado!J13</f>
        <v>84.8469226445931</v>
      </c>
      <c r="I12" s="4" t="s">
        <v>562</v>
      </c>
    </row>
    <row r="14" customFormat="false" ht="30" hidden="false" customHeight="true" outlineLevel="0" collapsed="false">
      <c r="B14" s="65" t="s">
        <v>563</v>
      </c>
      <c r="C14" s="65"/>
      <c r="D14" s="65"/>
      <c r="E14" s="65"/>
      <c r="F14" s="65"/>
      <c r="G14" s="65"/>
      <c r="H14" s="65"/>
      <c r="I14" s="65"/>
    </row>
  </sheetData>
  <mergeCells count="1">
    <mergeCell ref="B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C1"/>
    <pageSetUpPr fitToPage="false"/>
  </sheetPr>
  <dimension ref="B2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36"/>
    <col collapsed="false" customWidth="true" hidden="false" outlineLevel="0" max="8" min="7" style="0" width="26"/>
    <col collapsed="false" customWidth="true" hidden="false" outlineLevel="0" max="9" min="9" style="0" width="22"/>
    <col collapsed="false" customWidth="true" hidden="false" outlineLevel="0" max="10" min="10" style="0" width="30"/>
    <col collapsed="false" customWidth="true" hidden="false" outlineLevel="0" max="11" min="11" style="0" width="34"/>
  </cols>
  <sheetData>
    <row r="2" customFormat="false" ht="18.55" hidden="false" customHeight="false" outlineLevel="0" collapsed="false">
      <c r="B2" s="1" t="s">
        <v>564</v>
      </c>
    </row>
    <row r="3" customFormat="false" ht="15" hidden="false" customHeight="false" outlineLevel="0" collapsed="false">
      <c r="B3" s="2" t="s">
        <v>565</v>
      </c>
    </row>
    <row r="5" customFormat="false" ht="15" hidden="false" customHeight="false" outlineLevel="0" collapsed="false">
      <c r="B5" s="11" t="s">
        <v>566</v>
      </c>
      <c r="C5" s="11" t="s">
        <v>567</v>
      </c>
      <c r="D5" s="11" t="s">
        <v>568</v>
      </c>
      <c r="E5" s="11" t="s">
        <v>569</v>
      </c>
      <c r="F5" s="11" t="s">
        <v>570</v>
      </c>
      <c r="G5" s="11" t="s">
        <v>571</v>
      </c>
      <c r="H5" s="11" t="s">
        <v>572</v>
      </c>
      <c r="I5" s="11" t="s">
        <v>573</v>
      </c>
      <c r="J5" s="11" t="s">
        <v>574</v>
      </c>
      <c r="K5" s="11" t="s">
        <v>575</v>
      </c>
    </row>
    <row r="6" customFormat="false" ht="120" hidden="false" customHeight="true" outlineLevel="0" collapsed="false">
      <c r="B6" s="66" t="s">
        <v>576</v>
      </c>
      <c r="C6" s="4" t="s">
        <v>577</v>
      </c>
      <c r="D6" s="4" t="s">
        <v>578</v>
      </c>
      <c r="E6" s="4" t="s">
        <v>579</v>
      </c>
      <c r="F6" s="4" t="s">
        <v>580</v>
      </c>
      <c r="G6" s="4" t="s">
        <v>581</v>
      </c>
      <c r="H6" s="4" t="s">
        <v>582</v>
      </c>
      <c r="I6" s="67" t="str">
        <f aca="false">"Déficit primario +"&amp;TEXT(-Motor!E104,"0.00")&amp;" pp PIB"</f>
        <v>Déficit primario +0.89 pp PIB</v>
      </c>
      <c r="J6" s="4" t="s">
        <v>583</v>
      </c>
      <c r="K6" s="4" t="s">
        <v>584</v>
      </c>
    </row>
    <row r="7" customFormat="false" ht="120" hidden="false" customHeight="true" outlineLevel="0" collapsed="false">
      <c r="B7" s="66" t="s">
        <v>585</v>
      </c>
      <c r="C7" s="4" t="s">
        <v>586</v>
      </c>
      <c r="D7" s="4" t="s">
        <v>587</v>
      </c>
      <c r="E7" s="4" t="s">
        <v>588</v>
      </c>
      <c r="F7" s="4" t="s">
        <v>589</v>
      </c>
      <c r="G7" s="4" t="s">
        <v>590</v>
      </c>
      <c r="H7" s="4" t="s">
        <v>591</v>
      </c>
      <c r="I7" s="67" t="str">
        <f aca="false">"Inflación +"&amp;TEXT(Motor!E191,"0.00")&amp;" pp; RIN "&amp;TEXT(Motor!E201,"#,##0")&amp;" US$ mn"</f>
        <v>Inflación +1.31 pp; RIN -196 US$ mn</v>
      </c>
      <c r="J7" s="4" t="s">
        <v>592</v>
      </c>
      <c r="K7" s="4" t="s">
        <v>593</v>
      </c>
    </row>
    <row r="8" customFormat="false" ht="120" hidden="false" customHeight="true" outlineLevel="0" collapsed="false">
      <c r="B8" s="66" t="s">
        <v>594</v>
      </c>
      <c r="C8" s="4" t="s">
        <v>595</v>
      </c>
      <c r="D8" s="4" t="s">
        <v>596</v>
      </c>
      <c r="E8" s="4" t="s">
        <v>597</v>
      </c>
      <c r="F8" s="4" t="s">
        <v>598</v>
      </c>
      <c r="G8" s="4" t="s">
        <v>599</v>
      </c>
      <c r="H8" s="4" t="s">
        <v>600</v>
      </c>
      <c r="I8" s="67" t="str">
        <f aca="false">"Reservas: "&amp;TEXT(Motor!E273,"#,##0")&amp;" US$ mn"</f>
        <v>Reservas: -478 US$ mn</v>
      </c>
      <c r="J8" s="4" t="s">
        <v>601</v>
      </c>
      <c r="K8" s="4" t="s">
        <v>602</v>
      </c>
    </row>
    <row r="9" customFormat="false" ht="120" hidden="false" customHeight="true" outlineLevel="0" collapsed="false">
      <c r="B9" s="66" t="s">
        <v>603</v>
      </c>
      <c r="C9" s="4" t="s">
        <v>604</v>
      </c>
      <c r="D9" s="4" t="s">
        <v>605</v>
      </c>
      <c r="E9" s="4" t="s">
        <v>606</v>
      </c>
      <c r="F9" s="4" t="s">
        <v>607</v>
      </c>
      <c r="G9" s="4" t="s">
        <v>608</v>
      </c>
      <c r="H9" s="4" t="s">
        <v>609</v>
      </c>
      <c r="I9" s="67" t="str">
        <f aca="false">"Recaudación realizada +"&amp;TEXT(Motor!E310,"0.00")&amp;" pp PIB"</f>
        <v>Recaudación realizada +0.87 pp PIB</v>
      </c>
      <c r="J9" s="4" t="s">
        <v>610</v>
      </c>
      <c r="K9" s="4" t="s">
        <v>611</v>
      </c>
    </row>
    <row r="10" customFormat="false" ht="120" hidden="false" customHeight="true" outlineLevel="0" collapsed="false">
      <c r="B10" s="66" t="s">
        <v>612</v>
      </c>
      <c r="C10" s="4" t="s">
        <v>613</v>
      </c>
      <c r="D10" s="4" t="s">
        <v>614</v>
      </c>
      <c r="E10" s="4" t="s">
        <v>615</v>
      </c>
      <c r="F10" s="4" t="s">
        <v>616</v>
      </c>
      <c r="G10" s="4" t="s">
        <v>617</v>
      </c>
      <c r="H10" s="4" t="s">
        <v>618</v>
      </c>
      <c r="I10" s="67" t="str">
        <f aca="false">"Gasto +"&amp;TEXT(Motor!E381,"0.00")&amp;" pp PIB"</f>
        <v>Gasto +0.80 pp PIB</v>
      </c>
      <c r="J10" s="4" t="s">
        <v>619</v>
      </c>
      <c r="K10" s="4" t="s">
        <v>620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C1"/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52"/>
    <col collapsed="false" customWidth="true" hidden="false" outlineLevel="0" max="5" min="5" style="0" width="46"/>
  </cols>
  <sheetData>
    <row r="2" customFormat="false" ht="18.55" hidden="false" customHeight="false" outlineLevel="0" collapsed="false">
      <c r="B2" s="1" t="s">
        <v>621</v>
      </c>
    </row>
    <row r="3" customFormat="false" ht="15" hidden="false" customHeight="false" outlineLevel="0" collapsed="false">
      <c r="B3" s="2" t="s">
        <v>622</v>
      </c>
    </row>
    <row r="5" customFormat="false" ht="15" hidden="false" customHeight="false" outlineLevel="0" collapsed="false">
      <c r="B5" s="11" t="s">
        <v>623</v>
      </c>
      <c r="C5" s="11" t="s">
        <v>624</v>
      </c>
      <c r="D5" s="11" t="s">
        <v>625</v>
      </c>
      <c r="E5" s="11" t="s">
        <v>626</v>
      </c>
    </row>
    <row r="6" customFormat="false" ht="91.5" hidden="false" customHeight="true" outlineLevel="0" collapsed="false">
      <c r="B6" s="66" t="s">
        <v>627</v>
      </c>
      <c r="C6" s="4" t="s">
        <v>628</v>
      </c>
      <c r="D6" s="4" t="s">
        <v>629</v>
      </c>
      <c r="E6" s="4" t="s">
        <v>630</v>
      </c>
    </row>
    <row r="7" customFormat="false" ht="91.5" hidden="false" customHeight="true" outlineLevel="0" collapsed="false">
      <c r="B7" s="66" t="s">
        <v>631</v>
      </c>
      <c r="C7" s="4" t="s">
        <v>632</v>
      </c>
      <c r="D7" s="4" t="s">
        <v>633</v>
      </c>
      <c r="E7" s="4" t="s">
        <v>634</v>
      </c>
    </row>
    <row r="8" customFormat="false" ht="91.5" hidden="false" customHeight="true" outlineLevel="0" collapsed="false">
      <c r="B8" s="66" t="s">
        <v>635</v>
      </c>
      <c r="C8" s="4" t="s">
        <v>636</v>
      </c>
      <c r="D8" s="4" t="s">
        <v>637</v>
      </c>
      <c r="E8" s="4" t="s">
        <v>638</v>
      </c>
    </row>
    <row r="9" customFormat="false" ht="91.5" hidden="false" customHeight="true" outlineLevel="0" collapsed="false">
      <c r="B9" s="66" t="s">
        <v>639</v>
      </c>
      <c r="C9" s="4" t="s">
        <v>640</v>
      </c>
      <c r="D9" s="4" t="s">
        <v>641</v>
      </c>
      <c r="E9" s="4" t="s">
        <v>642</v>
      </c>
    </row>
    <row r="10" customFormat="false" ht="91.5" hidden="false" customHeight="true" outlineLevel="0" collapsed="false">
      <c r="B10" s="66" t="s">
        <v>643</v>
      </c>
      <c r="C10" s="4" t="s">
        <v>644</v>
      </c>
      <c r="D10" s="4" t="s">
        <v>645</v>
      </c>
      <c r="E10" s="4" t="s">
        <v>646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C1"/>
    <pageSetUpPr fitToPage="false"/>
  </sheetPr>
  <dimension ref="B2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80"/>
    <col collapsed="false" customWidth="true" hidden="false" outlineLevel="0" max="4" min="4" style="0" width="30"/>
  </cols>
  <sheetData>
    <row r="2" customFormat="false" ht="18.55" hidden="false" customHeight="false" outlineLevel="0" collapsed="false">
      <c r="B2" s="1" t="s">
        <v>647</v>
      </c>
    </row>
    <row r="3" customFormat="false" ht="15" hidden="false" customHeight="false" outlineLevel="0" collapsed="false">
      <c r="B3" s="2" t="s">
        <v>648</v>
      </c>
    </row>
    <row r="5" customFormat="false" ht="15" hidden="false" customHeight="false" outlineLevel="0" collapsed="false">
      <c r="B5" s="11" t="s">
        <v>649</v>
      </c>
      <c r="C5" s="11" t="s">
        <v>650</v>
      </c>
      <c r="D5" s="11" t="s">
        <v>651</v>
      </c>
    </row>
    <row r="6" customFormat="false" ht="69.75" hidden="false" customHeight="true" outlineLevel="0" collapsed="false">
      <c r="B6" s="66" t="s">
        <v>652</v>
      </c>
      <c r="C6" s="4" t="s">
        <v>653</v>
      </c>
      <c r="D6" s="67" t="str">
        <f aca="false">"Crédito BCB E6 2026–29: Bs "&amp;TEXT(Evaluacion!I17,"#,##0")&amp;" mn"</f>
        <v>Crédito BCB E6 2026–29: Bs 0 mn</v>
      </c>
    </row>
    <row r="7" customFormat="false" ht="69.75" hidden="false" customHeight="true" outlineLevel="0" collapsed="false">
      <c r="B7" s="66" t="s">
        <v>654</v>
      </c>
      <c r="C7" s="4" t="s">
        <v>655</v>
      </c>
      <c r="D7" s="67" t="str">
        <f aca="false">"Importación extra de combustibles 2027: US$ "&amp;TEXT(Shocks!C16*Datos_FMI!$G$26,"#,##0")&amp;" mn"</f>
        <v>Importación extra de combustibles 2027: US$ 804 mn</v>
      </c>
    </row>
    <row r="8" customFormat="false" ht="69.75" hidden="false" customHeight="true" outlineLevel="0" collapsed="false">
      <c r="B8" s="66" t="s">
        <v>656</v>
      </c>
      <c r="C8" s="4" t="s">
        <v>657</v>
      </c>
      <c r="D8" s="67" t="str">
        <f aca="false">"Pérdida de RIN E3 2026–29 vs FMI: US$ "&amp;TEXT(Motor!G274,"#,##0")&amp;" mn"</f>
        <v>Pérdida de RIN E3 2026–29 vs FMI: US$ -1,106 mn</v>
      </c>
    </row>
    <row r="9" customFormat="false" ht="69.75" hidden="false" customHeight="true" outlineLevel="0" collapsed="false">
      <c r="B9" s="66" t="s">
        <v>658</v>
      </c>
      <c r="C9" s="4" t="s">
        <v>659</v>
      </c>
      <c r="D9" s="67" t="str">
        <f aca="false">"Recaudación realizada E6 2027: "&amp;TEXT(Motor!E454,"0.00")&amp;" pp PIB; 2029: "&amp;TEXT(Motor!G454,"0.00")&amp;" pp"</f>
        <v>Recaudación realizada E6 2027: 0.63 pp PIB; 2029: 1.14 pp</v>
      </c>
    </row>
    <row r="10" customFormat="false" ht="69.75" hidden="false" customHeight="true" outlineLevel="0" collapsed="false">
      <c r="B10" s="66" t="s">
        <v>660</v>
      </c>
      <c r="C10" s="4" t="s">
        <v>661</v>
      </c>
      <c r="D10" s="67" t="str">
        <f aca="false">"Δ inflación E6 2027: "&amp;TEXT(Motor!E479,"0.00")&amp;" pp"</f>
        <v>Δ inflación E6 2027: 0.03 pp</v>
      </c>
    </row>
    <row r="11" customFormat="false" ht="69.75" hidden="false" customHeight="true" outlineLevel="0" collapsed="false">
      <c r="B11" s="66" t="s">
        <v>662</v>
      </c>
      <c r="C11" s="4" t="s">
        <v>663</v>
      </c>
      <c r="D11" s="67" t="s">
        <v>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C1"/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5" min="5" style="0" width="18"/>
    <col collapsed="false" customWidth="true" hidden="false" outlineLevel="0" max="6" min="6" style="0" width="36"/>
  </cols>
  <sheetData>
    <row r="2" customFormat="false" ht="18.55" hidden="false" customHeight="false" outlineLevel="0" collapsed="false">
      <c r="B2" s="1" t="s">
        <v>665</v>
      </c>
    </row>
    <row r="3" customFormat="false" ht="15" hidden="false" customHeight="false" outlineLevel="0" collapsed="false">
      <c r="B3" s="2" t="s">
        <v>666</v>
      </c>
    </row>
    <row r="5" customFormat="false" ht="15" hidden="false" customHeight="false" outlineLevel="0" collapsed="false">
      <c r="B5" s="11" t="s">
        <v>667</v>
      </c>
      <c r="C5" s="11" t="s">
        <v>668</v>
      </c>
      <c r="D5" s="11" t="s">
        <v>669</v>
      </c>
      <c r="E5" s="11" t="s">
        <v>203</v>
      </c>
      <c r="F5" s="11" t="s">
        <v>670</v>
      </c>
    </row>
    <row r="6" customFormat="false" ht="61.5" hidden="false" customHeight="true" outlineLevel="0" collapsed="false">
      <c r="B6" s="66" t="s">
        <v>401</v>
      </c>
      <c r="C6" s="4" t="s">
        <v>671</v>
      </c>
      <c r="D6" s="4" t="s">
        <v>672</v>
      </c>
      <c r="E6" s="4" t="s">
        <v>673</v>
      </c>
      <c r="F6" s="4" t="s">
        <v>674</v>
      </c>
    </row>
    <row r="7" customFormat="false" ht="61.5" hidden="false" customHeight="true" outlineLevel="0" collapsed="false">
      <c r="B7" s="66" t="s">
        <v>675</v>
      </c>
      <c r="C7" s="4" t="s">
        <v>676</v>
      </c>
      <c r="D7" s="4" t="s">
        <v>677</v>
      </c>
      <c r="E7" s="4" t="s">
        <v>678</v>
      </c>
      <c r="F7" s="4" t="s">
        <v>679</v>
      </c>
    </row>
    <row r="8" customFormat="false" ht="61.5" hidden="false" customHeight="true" outlineLevel="0" collapsed="false">
      <c r="B8" s="66" t="s">
        <v>217</v>
      </c>
      <c r="C8" s="4" t="s">
        <v>680</v>
      </c>
      <c r="D8" s="4" t="s">
        <v>681</v>
      </c>
      <c r="E8" s="4" t="s">
        <v>682</v>
      </c>
      <c r="F8" s="4" t="s">
        <v>683</v>
      </c>
    </row>
    <row r="9" customFormat="false" ht="61.5" hidden="false" customHeight="true" outlineLevel="0" collapsed="false">
      <c r="B9" s="66" t="s">
        <v>684</v>
      </c>
      <c r="C9" s="4" t="s">
        <v>685</v>
      </c>
      <c r="D9" s="4" t="s">
        <v>686</v>
      </c>
      <c r="E9" s="4" t="s">
        <v>687</v>
      </c>
      <c r="F9" s="4" t="s">
        <v>688</v>
      </c>
    </row>
    <row r="10" customFormat="false" ht="61.5" hidden="false" customHeight="true" outlineLevel="0" collapsed="false">
      <c r="B10" s="66" t="s">
        <v>689</v>
      </c>
      <c r="C10" s="4" t="s">
        <v>690</v>
      </c>
      <c r="D10" s="4" t="s">
        <v>691</v>
      </c>
      <c r="E10" s="4" t="s">
        <v>692</v>
      </c>
      <c r="F10" s="4" t="s">
        <v>693</v>
      </c>
    </row>
    <row r="11" customFormat="false" ht="61.5" hidden="false" customHeight="true" outlineLevel="0" collapsed="false">
      <c r="B11" s="66" t="s">
        <v>694</v>
      </c>
      <c r="C11" s="4" t="s">
        <v>695</v>
      </c>
      <c r="D11" s="4" t="s">
        <v>696</v>
      </c>
      <c r="E11" s="4" t="s">
        <v>697</v>
      </c>
      <c r="F11" s="4" t="s">
        <v>698</v>
      </c>
    </row>
    <row r="12" customFormat="false" ht="61.5" hidden="false" customHeight="true" outlineLevel="0" collapsed="false">
      <c r="B12" s="66" t="s">
        <v>422</v>
      </c>
      <c r="C12" s="4" t="s">
        <v>699</v>
      </c>
      <c r="D12" s="4" t="s">
        <v>700</v>
      </c>
      <c r="E12" s="4" t="s">
        <v>701</v>
      </c>
      <c r="F12" s="4" t="s">
        <v>702</v>
      </c>
    </row>
    <row r="14" customFormat="false" ht="48" hidden="false" customHeight="true" outlineLevel="0" collapsed="false">
      <c r="B14" s="65" t="s">
        <v>703</v>
      </c>
      <c r="C14" s="65"/>
      <c r="D14" s="65"/>
      <c r="E14" s="65"/>
      <c r="F14" s="65"/>
    </row>
  </sheetData>
  <mergeCells count="1"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C1"/>
    <pageSetUpPr fitToPage="false"/>
  </sheetPr>
  <dimension ref="B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K1" s="0" t="s">
        <v>704</v>
      </c>
    </row>
    <row r="2" customFormat="false" ht="15" hidden="false" customHeight="false" outlineLevel="0" collapsed="false">
      <c r="B2" s="0" t="s">
        <v>73</v>
      </c>
      <c r="C2" s="0" t="s">
        <v>343</v>
      </c>
      <c r="E2" s="0" t="s">
        <v>53</v>
      </c>
      <c r="G2" s="0" t="n">
        <v>2026</v>
      </c>
      <c r="I2" s="0" t="s">
        <v>56</v>
      </c>
      <c r="K2" s="0" t="n">
        <f aca="false">MATCH(sel_scen,Listas!$B$2:$B$8,0)</f>
        <v>7</v>
      </c>
    </row>
    <row r="3" customFormat="false" ht="15" hidden="false" customHeight="false" outlineLevel="0" collapsed="false">
      <c r="B3" s="0" t="s">
        <v>74</v>
      </c>
      <c r="C3" s="0" t="s">
        <v>361</v>
      </c>
      <c r="E3" s="0" t="s">
        <v>442</v>
      </c>
      <c r="G3" s="0" t="n">
        <v>2027</v>
      </c>
      <c r="I3" s="0" t="s">
        <v>705</v>
      </c>
      <c r="K3" s="0" t="n">
        <f aca="false">MATCH(sel_shock,Listas!$E$2:$E$7,0)-1</f>
        <v>0</v>
      </c>
    </row>
    <row r="4" customFormat="false" ht="15" hidden="false" customHeight="false" outlineLevel="0" collapsed="false">
      <c r="B4" s="0" t="s">
        <v>75</v>
      </c>
      <c r="C4" s="0" t="s">
        <v>363</v>
      </c>
      <c r="E4" s="0" t="s">
        <v>443</v>
      </c>
      <c r="G4" s="0" t="n">
        <v>2028</v>
      </c>
    </row>
    <row r="5" customFormat="false" ht="15" hidden="false" customHeight="false" outlineLevel="0" collapsed="false">
      <c r="B5" s="0" t="s">
        <v>76</v>
      </c>
      <c r="C5" s="0" t="s">
        <v>365</v>
      </c>
      <c r="E5" s="0" t="s">
        <v>444</v>
      </c>
    </row>
    <row r="6" customFormat="false" ht="15" hidden="false" customHeight="false" outlineLevel="0" collapsed="false">
      <c r="B6" s="0" t="s">
        <v>77</v>
      </c>
      <c r="C6" s="0" t="s">
        <v>367</v>
      </c>
      <c r="E6" s="0" t="s">
        <v>445</v>
      </c>
    </row>
    <row r="7" customFormat="false" ht="15" hidden="false" customHeight="false" outlineLevel="0" collapsed="false">
      <c r="B7" s="0" t="s">
        <v>78</v>
      </c>
      <c r="C7" s="0" t="s">
        <v>369</v>
      </c>
      <c r="E7" s="0" t="s">
        <v>446</v>
      </c>
    </row>
    <row r="8" customFormat="false" ht="15" hidden="false" customHeight="false" outlineLevel="0" collapsed="false">
      <c r="B8" s="0" t="s">
        <v>50</v>
      </c>
      <c r="C8" s="0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2026-10-22T16:44:50Z</dcterms:created>
  <dc:creator>openpyxl</dc:creator>
  <dc:description/>
  <dc:language>en-US</dc:language>
  <cp:lastModifiedBy/>
  <dcterms:modified xsi:type="dcterms:W3CDTF">2026-10-22T12:44:54Z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ude.handoff">
    <vt:lpwstr>D6VKhPToXA0_5nF4-sr6pnepR6rF540nXEnVPL3hPNE</vt:lpwstr>
  </property>
</Properties>
</file>